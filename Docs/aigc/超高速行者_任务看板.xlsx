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ab7a9996f34ed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概览设置" sheetId="1" r:id="R161611e077bf4b90"/>
    <x:sheet xmlns:r="http://schemas.openxmlformats.org/officeDocument/2006/relationships" name="任务看板" sheetId="2" r:id="Rbfbdd87f4f84489d"/>
    <x:sheet xmlns:r="http://schemas.openxmlformats.org/officeDocument/2006/relationships" name="人员负荷" sheetId="3" r:id="R5277977d5d9f4318"/>
    <x:sheet xmlns:r="http://schemas.openxmlformats.org/officeDocument/2006/relationships" name="里程碑" sheetId="4" r:id="Re8187d23452240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sz val="11"/>
      <x:color rgb="FF25364A"/>
      <x:name val="Microsoft YaHei"/>
    </x:font>
    <x:font>
      <x:b/>
      <x:sz val="20"/>
      <x:color rgb="FFFFFFFF"/>
      <x:name val="Microsoft YaHei"/>
    </x:font>
    <x:font>
      <x:b/>
      <x:sz val="11"/>
      <x:color rgb="FFFFFFFF"/>
      <x:name val="Microsoft YaHei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0F6"/>
      </x:patternFill>
    </x:fill>
    <x:fill>
      <x:patternFill patternType="solid">
        <x:fgColor rgb="FFFFF4D6"/>
      </x:patternFill>
    </x:fill>
    <x:fill>
      <x:patternFill patternType="solid">
        <x:fgColor rgb="FF215E74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ill>
        <x:patternFill patternType="solid">
          <x:bgColor rgb="FFE1F2E8"/>
        </x:patternFill>
      </x:fill>
    </x:dxf>
    <x:dxf>
      <x:font>
        <x:color rgb="FF9B2323"/>
      </x:font>
      <x:fill>
        <x:patternFill patternType="solid">
          <x:bgColor rgb="FFFCE1E1"/>
        </x:patternFill>
      </x:fill>
    </x:dxf>
    <x:dxf>
      <x:fill>
        <x:patternFill patternType="solid">
          <x:bgColor rgb="FFFCE1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1c7b77fa2c4754" /><Relationship Type="http://schemas.openxmlformats.org/officeDocument/2006/relationships/theme" Target="/xl/theme/theme1.xml" Id="Rc2e489d5858e49d9" /><Relationship Type="http://schemas.openxmlformats.org/officeDocument/2006/relationships/sharedStrings" Target="/xl/sharedStrings.xml" Id="R4d118ebccdfa4eb4" /><Relationship Type="http://schemas.openxmlformats.org/officeDocument/2006/relationships/worksheet" Target="/xl/worksheets/sheet1.xml" Id="R161611e077bf4b90" /><Relationship Type="http://schemas.openxmlformats.org/officeDocument/2006/relationships/worksheet" Target="/xl/worksheets/sheet2.xml" Id="Rbfbdd87f4f84489d" /><Relationship Type="http://schemas.openxmlformats.org/officeDocument/2006/relationships/worksheet" Target="/xl/worksheets/sheet3.xml" Id="R5277977d5d9f4318" /><Relationship Type="http://schemas.openxmlformats.org/officeDocument/2006/relationships/worksheet" Target="/xl/worksheets/sheet4.xml" Id="Re8187d2345224053" /></Relationships>
</file>

<file path=xl/tables/table1.xml><?xml version="1.0" encoding="utf-8"?>
<x:table xmlns:x="http://schemas.openxmlformats.org/spreadsheetml/2006/main" id="1" name="TaskBoard" displayName="TaskBoard" ref="A4:Q63" headerRowCount="1" totalsRowCount="0" totalsRowShown="0">
  <x:tableColumns count="17">
    <x:tableColumn id="1" name="编号"/>
    <x:tableColumn id="2" name="组别"/>
    <x:tableColumn id="3" name="负责人"/>
    <x:tableColumn id="4" name="任务/交付物"/>
    <x:tableColumn id="5" name="优先级"/>
    <x:tableColumn id="6" name="开始D"/>
    <x:tableColumn id="7" name="截止D"/>
    <x:tableColumn id="8" name="预算h"/>
    <x:tableColumn id="9" name="前置任务"/>
    <x:tableColumn id="10" name="验收人"/>
    <x:tableColumn id="11" name="验收标准"/>
    <x:tableColumn id="12" name="状态"/>
    <x:tableColumn id="13" name="实际h"/>
    <x:tableColumn id="14" name="截止日期"/>
    <x:tableColumn id="15" name="时效提醒"/>
    <x:tableColumn id="16" name="PR/交付链接"/>
    <x:tableColumn id="17" name="阻塞/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opleLoad" displayName="PeopleLoad" ref="A4:H21" headerRowCount="1" totalsRowCount="0" totalsRowShown="0">
  <x:tableColumns count="8">
    <x:tableColumn id="1" name="成员"/>
    <x:tableColumn id="2" name="主岗"/>
    <x:tableColumn id="3" name="预算上限h"/>
    <x:tableColumn id="4" name="P0计划h"/>
    <x:tableColumn id="5" name="P1备选h"/>
    <x:tableColumn id="6" name="保底余量h"/>
    <x:tableColumn id="7" name="含备选余量h"/>
    <x:tableColumn id="8" name="情况与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ilestones" displayName="Milestones" ref="A4:F15" headerRowCount="1" totalsRowCount="0" totalsRowShown="0">
  <x:tableColumns count="6">
    <x:tableColumn id="1" name="截止D"/>
    <x:tableColumn id="2" name="里程碑"/>
    <x:tableColumn id="3" name="负责人"/>
    <x:tableColumn id="4" name="放行标准"/>
    <x:tableColumn id="5" name="状态"/>
    <x:tableColumn id="6" name="日期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a8c6a23f6a4470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ca3c465e6340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89574054d24ba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44" customHeight="1">
      <x:c r="A1" s="5" t="str">
        <x:v>超高速行者 | 21天交付任务看板</x:v>
      </x:c>
      <x:c r="B1" s="5"/>
      <x:c r="C1" s="5"/>
      <x:c r="D1" s="5"/>
      <x:c r="E1" s="5"/>
      <x:c r="F1" s="5"/>
    </x:row>
    <x:row r="2" ht="38" customHeight="1">
      <x:c r="A2" s="6" t="str">
        <x:v>D20正式交付 · D21应急缓冲 | 建议排期，成员待确认 | 版本 2026-09-26</x:v>
      </x:c>
      <x:c r="B2" s="6"/>
      <x:c r="C2" s="6"/>
      <x:c r="D2" s="6"/>
      <x:c r="E2" s="6"/>
      <x:c r="F2" s="6"/>
    </x:row>
    <x:row r="3" ht="42" customHeight="1">
      <x:c r="A3" s="3"/>
      <x:c r="B3" s="3"/>
      <x:c r="C3" s="3"/>
      <x:c r="D3" s="3"/>
      <x:c r="E3" s="3"/>
      <x:c r="F3" s="3"/>
    </x:row>
    <x:row r="4" ht="42" customHeight="1">
      <x:c r="A4" s="3" t="str">
        <x:v>实际开工日期</x:v>
      </x:c>
      <x:c r="B4" s="12"/>
      <x:c r="C4" s="3" t="str">
        <x:v>填真实Excel日期；未确定时留空，不默认今天开工。</x:v>
      </x:c>
      <x:c r="D4" s="3"/>
      <x:c r="E4" s="3"/>
      <x:c r="F4" s="3"/>
    </x:row>
    <x:row r="5" ht="42" customHeight="1">
      <x:c r="A5" s="3" t="str">
        <x:v>当前项目日D</x:v>
      </x:c>
      <x:c r="B5" s="8" t="n">
        <x:v>1</x:v>
      </x:c>
      <x:c r="C5" s="3" t="str">
        <x:v>每天手动更新D值，用于时效提醒；初始D1仅作计划起点。</x:v>
      </x:c>
      <x:c r="D5" s="3"/>
      <x:c r="E5" s="3"/>
      <x:c r="F5" s="3"/>
    </x:row>
    <x:row r="6" ht="42" customHeight="1">
      <x:c r="A6" s="3"/>
      <x:c r="B6" s="3"/>
      <x:c r="C6" s="3"/>
      <x:c r="D6" s="3"/>
      <x:c r="E6" s="3"/>
      <x:c r="F6" s="3"/>
    </x:row>
    <x:row r="7" ht="42" customHeight="1">
      <x:c r="A7" s="3" t="str">
        <x:v>P0任务数</x:v>
      </x:c>
      <x:c r="B7" s="3" t="n">
        <x:f>COUNTIF('任务看板'!E5:E63,"P0")-COUNTIFS('任务看板'!E5:E63,"P0",'任务看板'!L5:L63,"已取消")</x:f>
        <x:v>58</x:v>
      </x:c>
      <x:c r="C7" s="3"/>
      <x:c r="D7" s="3"/>
      <x:c r="E7" s="3"/>
      <x:c r="F7" s="3"/>
    </x:row>
    <x:row r="8" ht="42" customHeight="1">
      <x:c r="A8" s="3" t="str">
        <x:v>P0已完成</x:v>
      </x:c>
      <x:c r="B8" s="3" t="n">
        <x:f>COUNTIFS('任务看板'!E5:E63,"P0",'任务看板'!L5:L63,"已完成")</x:f>
        <x:v>0</x:v>
      </x:c>
      <x:c r="C8" s="3"/>
      <x:c r="D8" s="3"/>
      <x:c r="E8" s="3"/>
      <x:c r="F8" s="3"/>
    </x:row>
    <x:row r="9" ht="42" customHeight="1">
      <x:c r="A9" s="3" t="str">
        <x:v>P0完成率</x:v>
      </x:c>
      <x:c r="B9" s="13" t="n">
        <x:f>IFERROR(B8/B7,0)</x:f>
        <x:v>0</x:v>
      </x:c>
      <x:c r="C9" s="3"/>
      <x:c r="D9" s="3"/>
      <x:c r="E9" s="3"/>
      <x:c r="F9" s="3"/>
    </x:row>
    <x:row r="10" ht="42" customHeight="1">
      <x:c r="A10" s="3" t="str">
        <x:v>受阻任务数</x:v>
      </x:c>
      <x:c r="B10" s="3" t="n">
        <x:f>COUNTIF('任务看板'!L5:L63,"受阻")</x:f>
        <x:v>0</x:v>
      </x:c>
      <x:c r="C10" s="3"/>
      <x:c r="D10" s="3"/>
      <x:c r="E10" s="3"/>
      <x:c r="F10" s="3"/>
    </x:row>
    <x:row r="11" ht="42" customHeight="1">
      <x:c r="A11" s="3" t="str">
        <x:v>P1待批准</x:v>
      </x:c>
      <x:c r="B11" s="3" t="n">
        <x:f>COUNTIFS('任务看板'!E5:E63,"P1",'任务看板'!L5:L63,"待批准")</x:f>
        <x:v>1</x:v>
      </x:c>
      <x:c r="C11" s="3"/>
      <x:c r="D11" s="3"/>
      <x:c r="E11" s="3"/>
      <x:c r="F11" s="3"/>
    </x:row>
    <x:row r="12" ht="42" customHeight="1">
      <x:c r="A12" s="3" t="str">
        <x:v>P0计划工时h</x:v>
      </x:c>
      <x:c r="B12" s="3" t="n">
        <x:f>SUM('人员负荷'!D5:D21)</x:f>
        <x:v>438</x:v>
      </x:c>
      <x:c r="C12" s="3"/>
      <x:c r="D12" s="3"/>
      <x:c r="E12" s="3"/>
      <x:c r="F12" s="3"/>
    </x:row>
    <x:row r="13" ht="42" customHeight="1">
      <x:c r="A13" s="3"/>
      <x:c r="B13" s="3"/>
      <x:c r="C13" s="3"/>
      <x:c r="D13" s="3"/>
      <x:c r="E13" s="3"/>
      <x:c r="F13" s="3"/>
    </x:row>
    <x:row r="14" ht="40" customHeight="1">
      <x:c r="A14" s="3" t="str">
        <x:v>使用顺序：先确认负责人/预算，再填写开工日期；按负责人筛选任务，更新状态、实际工时、交付链接与阻塞原因。</x:v>
      </x:c>
      <x:c r="B14" s="3"/>
      <x:c r="C14" s="3"/>
      <x:c r="D14" s="3"/>
      <x:c r="E14" s="3"/>
      <x:c r="F14" s="3"/>
    </x:row>
    <x:row r="15" ht="40" customHeight="1">
      <x:c r="A15" s="3" t="str">
        <x:v>完成口径：只有验收人确认通过，才能标“已完成”；写完代码或推送PR不等于已完成。</x:v>
      </x:c>
      <x:c r="B15" s="3"/>
      <x:c r="C15" s="3"/>
      <x:c r="D15" s="3"/>
      <x:c r="E15" s="3"/>
      <x:c r="F15" s="3"/>
    </x:row>
    <x:row r="16" ht="40" customHeight="1">
      <x:c r="A16" s="3" t="str">
        <x:v>依赖口径：前置任务ID是完成后才能启动的条件；长周期联调任务分段执行，不要求每天占满。</x:v>
      </x:c>
      <x:c r="B16" s="3"/>
      <x:c r="C16" s="3"/>
      <x:c r="D16" s="3"/>
      <x:c r="E16" s="3"/>
      <x:c r="F16" s="3"/>
    </x:row>
    <x:row r="17" ht="40" customHeight="1">
      <x:c r="A17" s="3" t="str">
        <x:v>范围口径：P0保底；O01是唯一预算内P1备选，D10评审前不启动；主动时停/连斩/重型/随机地图不排期。</x:v>
      </x:c>
      <x:c r="B17" s="3"/>
      <x:c r="C17" s="3"/>
      <x:c r="D17" s="3"/>
      <x:c r="E17" s="3"/>
      <x:c r="F17" s="3"/>
    </x:row>
    <x:row r="18" ht="40" customHeight="1">
      <x:c r="A18" s="3" t="str">
        <x:v>人员口径：17人基线；ta-kiiye仅中台；FKR梧桐到岗后再分配独立小任务；兼任策划者策划优先。</x:v>
      </x:c>
      <x:c r="B18" s="3"/>
      <x:c r="C18" s="3"/>
      <x:c r="D18" s="3"/>
      <x:c r="E18" s="3"/>
      <x:c r="F18" s="3"/>
    </x:row>
    <x:row r="19" ht="40" customHeight="1">
      <x:c r="A19" s="3" t="str">
        <x:v>容量口径：不把预算当承诺。Y.sir、豆橛子与音频职责需确认；程序组212h、策划194h、美工40h为上限。</x:v>
      </x:c>
      <x:c r="B19" s="3"/>
      <x:c r="C19" s="3"/>
      <x:c r="D19" s="3"/>
      <x:c r="E19" s="3"/>
      <x:c r="F19" s="3"/>
    </x:row>
    <x:row r="20" ht="40" customHeight="1">
      <x:c r="A20" s="3" t="str">
        <x:v>更新规则：请在已有任务行内更新；新增任务需复制公式/校验，并同步扩展汇总范围。不要只追加一行就默认计入统计。</x:v>
      </x:c>
      <x:c r="B20" s="3"/>
      <x:c r="C20" s="3"/>
      <x:c r="D20" s="3"/>
      <x:c r="E20" s="3"/>
      <x:c r="F20" s="3"/>
    </x:row>
    <x:row r="21" ht="40" customHeight="1">
      <x:c r="A21" s="3" t="str">
        <x:v>交付前置：队长在D1指定实际提交人、平台和账号权限；D20上传后下载回验，保存提交凭证。</x:v>
      </x:c>
      <x:c r="B21" s="3"/>
      <x:c r="C21" s="3"/>
      <x:c r="D21" s="3"/>
      <x:c r="E21" s="3"/>
      <x:c r="F21" s="3"/>
    </x:row>
    <x:row r="22" ht="40" customHeight="1">
      <x:c r="A22" s="3" t="str">
        <x:v>数据依据：成员信息表.xlsx、策划案v1.03.md、已生成分工方案；拆分工时为本次排期估算，不是原始成员表数据。</x:v>
      </x:c>
      <x:c r="B22" s="3"/>
      <x:c r="C22" s="3"/>
      <x:c r="D22" s="3"/>
      <x:c r="E22" s="3"/>
      <x:c r="F22" s="3"/>
    </x:row>
    <x:row r="23" ht="42" customHeight="1">
      <x:c r="A23" s="3"/>
      <x:c r="B23" s="3"/>
      <x:c r="C23" s="3"/>
      <x:c r="D23" s="3"/>
      <x:c r="E23" s="3"/>
      <x:c r="F23" s="3"/>
    </x:row>
  </x:sheetData>
  <x:mergeCells>
    <x:mergeCell ref="A1:F1"/>
    <x:mergeCell ref="A2:F2"/>
    <x:mergeCell ref="C4:F4"/>
    <x:mergeCell ref="C5:F5"/>
    <x:mergeCell ref="A14:F14"/>
    <x:mergeCell ref="A15:F15"/>
    <x:mergeCell ref="A16:F16"/>
    <x:mergeCell ref="A17:F17"/>
    <x:mergeCell ref="A18:F18"/>
    <x:mergeCell ref="A19:F19"/>
    <x:mergeCell ref="A20:F20"/>
    <x:mergeCell ref="A21:F21"/>
    <x:mergeCell ref="A22:F22"/>
  </x:mergeCells>
  <x:dataValidations count="1">
    <x:dataValidation type="whole" operator="between" sqref="B5">
      <x:formula1>1</x:formula1>
      <x:formula2>21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10" hidden="0" customWidth="1"/>
    <x:col min="3" max="3" width="15" hidden="0" customWidth="1"/>
    <x:col min="4" max="4" width="35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19" hidden="0" customWidth="1"/>
    <x:col min="10" max="10" width="16" hidden="0" customWidth="1"/>
    <x:col min="11" max="11" width="55" hidden="0" customWidth="1"/>
    <x:col min="12" max="12" width="13" hidden="0" customWidth="1"/>
    <x:col min="13" max="13" width="9" hidden="0" customWidth="1"/>
    <x:col min="14" max="14" width="15" hidden="0" customWidth="1"/>
    <x:col min="15" max="15" width="13" hidden="0" customWidth="1"/>
    <x:col min="16" max="16" width="28" hidden="0" customWidth="1"/>
    <x:col min="17" max="17" width="30" hidden="0" customWidth="1"/>
  </x:cols>
  <x:sheetData>
    <x:row r="1" ht="44" customHeight="1">
      <x:c r="A1" s="5" t="str">
        <x:v>任务看板 | SuperQuicker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</x:row>
    <x:row r="2" ht="38" customHeight="1">
      <x:c r="A2" s="6" t="str">
        <x:v>建议分工，全部待确认。筛选负责人/优先级/状态；P1未批准不启动。黄色=可编辑，灰蓝=公式。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  <x:c r="N2" s="6"/>
      <x:c r="O2" s="6"/>
      <x:c r="P2" s="6"/>
      <x:c r="Q2" s="6"/>
    </x:row>
    <x:row r="3" ht="42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</x:row>
    <x:row r="4" ht="30" customHeight="1">
      <x:c r="A4" s="11" t="str">
        <x:v>编号</x:v>
      </x:c>
      <x:c r="B4" s="11" t="str">
        <x:v>组别</x:v>
      </x:c>
      <x:c r="C4" s="11" t="str">
        <x:v>负责人</x:v>
      </x:c>
      <x:c r="D4" s="11" t="str">
        <x:v>任务/交付物</x:v>
      </x:c>
      <x:c r="E4" s="11" t="str">
        <x:v>优先级</x:v>
      </x:c>
      <x:c r="F4" s="11" t="str">
        <x:v>开始D</x:v>
      </x:c>
      <x:c r="G4" s="11" t="str">
        <x:v>截止D</x:v>
      </x:c>
      <x:c r="H4" s="11" t="str">
        <x:v>预算h</x:v>
      </x:c>
      <x:c r="I4" s="11" t="str">
        <x:v>前置任务</x:v>
      </x:c>
      <x:c r="J4" s="11" t="str">
        <x:v>验收人</x:v>
      </x:c>
      <x:c r="K4" s="11" t="str">
        <x:v>验收标准</x:v>
      </x:c>
      <x:c r="L4" s="11" t="str">
        <x:v>状态</x:v>
      </x:c>
      <x:c r="M4" s="11" t="str">
        <x:v>实际h</x:v>
      </x:c>
      <x:c r="N4" s="11" t="str">
        <x:v>截止日期</x:v>
      </x:c>
      <x:c r="O4" s="11" t="str">
        <x:v>时效提醒</x:v>
      </x:c>
      <x:c r="P4" s="11" t="str">
        <x:v>PR/交付链接</x:v>
      </x:c>
      <x:c r="Q4" s="11" t="str">
        <x:v>阻塞/备注</x:v>
      </x:c>
    </x:row>
    <x:row r="5" ht="64" customHeight="1">
      <x:c r="A5" s="3" t="str">
        <x:v>C01</x:v>
      </x:c>
      <x:c r="B5" s="3" t="str">
        <x:v>策划</x:v>
      </x:c>
      <x:c r="C5" s="3" t="str">
        <x:v>KinoChain</x:v>
      </x:c>
      <x:c r="D5" s="3" t="str">
        <x:v>确认范围、开工日与可用工时</x:v>
      </x:c>
      <x:c r="E5" s="3" t="str">
        <x:v>P0</x:v>
      </x:c>
      <x:c r="F5" s="3" t="n">
        <x:v>1</x:v>
      </x:c>
      <x:c r="G5" s="3" t="n">
        <x:v>2</x:v>
      </x:c>
      <x:c r="H5" s="3" t="n">
        <x:v>4</x:v>
      </x:c>
      <x:c r="I5" s="3" t="str">
        <x:v>无</x:v>
      </x:c>
      <x:c r="J5" s="3" t="str">
        <x:v>队长</x:v>
      </x:c>
      <x:c r="K5" s="3" t="str">
        <x:v>P0范围、开工日、提交负责人经确认</x:v>
      </x:c>
      <x:c r="L5" s="8" t="str">
        <x:v>待确认</x:v>
      </x:c>
      <x:c r="M5" s="8"/>
      <x:c r="N5" s="9" t="str">
        <x:f>IF('概览设置'!$B$4="","",'概览设置'!$B$4+G5-1)</x:f>
      </x:c>
      <x:c r="O5" s="6" t="str">
        <x:f>IF(OR(L5="已完成",L5="已取消"),"已关闭",IF(L5="待批准","未纳入",IF(G5&lt;'概览设置'!$B$5,"已逾期",IF(G5='概览设置'!$B$5,"今日到期","未到期"))))</x:f>
        <x:v>未到期</x:v>
      </x:c>
      <x:c r="P5" s="8" t="str"/>
      <x:c r="Q5" s="8" t="str"/>
    </x:row>
    <x:row r="6" ht="64" customHeight="1">
      <x:c r="A6" s="3" t="str">
        <x:v>C02</x:v>
      </x:c>
      <x:c r="B6" s="3" t="str">
        <x:v>策划</x:v>
      </x:c>
      <x:c r="C6" s="3" t="str">
        <x:v>haski</x:v>
      </x:c>
      <x:c r="D6" s="3" t="str">
        <x:v>输入优先级与战斗取消表</x:v>
      </x:c>
      <x:c r="E6" s="3" t="str">
        <x:v>P0</x:v>
      </x:c>
      <x:c r="F6" s="3" t="n">
        <x:v>1</x:v>
      </x:c>
      <x:c r="G6" s="3" t="n">
        <x:v>2</x:v>
      </x:c>
      <x:c r="H6" s="3" t="n">
        <x:v>6</x:v>
      </x:c>
      <x:c r="I6" s="3" t="str">
        <x:v>无</x:v>
      </x:c>
      <x:c r="J6" s="3" t="str">
        <x:v>绯云</x:v>
      </x:c>
      <x:c r="K6" s="3" t="str">
        <x:v>Shift/右键冲突及同帧判定顺序明确</x:v>
      </x:c>
      <x:c r="L6" s="8" t="str">
        <x:v>待确认</x:v>
      </x:c>
      <x:c r="M6" s="8"/>
      <x:c r="N6" s="9" t="str">
        <x:f>IF('概览设置'!$B$4="","",'概览设置'!$B$4+G6-1)</x:f>
      </x:c>
      <x:c r="O6" s="6" t="str">
        <x:f>IF(OR(L6="已完成",L6="已取消"),"已关闭",IF(L6="待批准","未纳入",IF(G6&lt;'概览设置'!$B$5,"已逾期",IF(G6='概览设置'!$B$5,"今日到期","未到期"))))</x:f>
        <x:v>未到期</x:v>
      </x:c>
      <x:c r="P6" s="8" t="str"/>
      <x:c r="Q6" s="8" t="str"/>
    </x:row>
    <x:row r="7" ht="64" customHeight="1">
      <x:c r="A7" s="3" t="str">
        <x:v>C03</x:v>
      </x:c>
      <x:c r="B7" s="3" t="str">
        <x:v>策划</x:v>
      </x:c>
      <x:c r="C7" s="3" t="str">
        <x:v>qwq</x:v>
      </x:c>
      <x:c r="D7" s="3" t="str">
        <x:v>房间尺寸、拓扑与动线约定</x:v>
      </x:c>
      <x:c r="E7" s="3" t="str">
        <x:v>P0</x:v>
      </x:c>
      <x:c r="F7" s="3" t="n">
        <x:v>1</x:v>
      </x:c>
      <x:c r="G7" s="3" t="n">
        <x:v>2</x:v>
      </x:c>
      <x:c r="H7" s="3" t="n">
        <x:v>4</x:v>
      </x:c>
      <x:c r="I7" s="3" t="str">
        <x:v>无</x:v>
      </x:c>
      <x:c r="J7" s="3" t="str">
        <x:v>haski</x:v>
      </x:c>
      <x:c r="K7" s="3" t="str">
        <x:v>测试道尺寸、房间出入口与落点规范可用</x:v>
      </x:c>
      <x:c r="L7" s="8" t="str">
        <x:v>待确认</x:v>
      </x:c>
      <x:c r="M7" s="8"/>
      <x:c r="N7" s="9" t="str">
        <x:f>IF('概览设置'!$B$4="","",'概览设置'!$B$4+G7-1)</x:f>
      </x:c>
      <x:c r="O7" s="6" t="str">
        <x:f>IF(OR(L7="已完成",L7="已取消"),"已关闭",IF(L7="待批准","未纳入",IF(G7&lt;'概览设置'!$B$5,"已逾期",IF(G7='概览设置'!$B$5,"今日到期","未到期"))))</x:f>
        <x:v>未到期</x:v>
      </x:c>
      <x:c r="P7" s="8" t="str"/>
      <x:c r="Q7" s="8" t="str"/>
    </x:row>
    <x:row r="8" ht="64" customHeight="1">
      <x:c r="A8" s="3" t="str">
        <x:v>C04</x:v>
      </x:c>
      <x:c r="B8" s="3" t="str">
        <x:v>策划</x:v>
      </x:c>
      <x:c r="C8" s="3" t="str">
        <x:v>林晓风</x:v>
      </x:c>
      <x:c r="D8" s="3" t="str">
        <x:v>HUD字段、界面状态与教学说明</x:v>
      </x:c>
      <x:c r="E8" s="3" t="str">
        <x:v>P0</x:v>
      </x:c>
      <x:c r="F8" s="3" t="n">
        <x:v>1</x:v>
      </x:c>
      <x:c r="G8" s="3" t="n">
        <x:v>2</x:v>
      </x:c>
      <x:c r="H8" s="3" t="n">
        <x:v>5</x:v>
      </x:c>
      <x:c r="I8" s="3" t="str">
        <x:v>无</x:v>
      </x:c>
      <x:c r="J8" s="3" t="str">
        <x:v>1382263</x:v>
      </x:c>
      <x:c r="K8" s="3" t="str">
        <x:v>血量/速度/能量、暂停/死亡/重开状态齐全</x:v>
      </x:c>
      <x:c r="L8" s="8" t="str">
        <x:v>待确认</x:v>
      </x:c>
      <x:c r="M8" s="8"/>
      <x:c r="N8" s="9" t="str">
        <x:f>IF('概览设置'!$B$4="","",'概览设置'!$B$4+G8-1)</x:f>
      </x:c>
      <x:c r="O8" s="6" t="str">
        <x:f>IF(OR(L8="已完成",L8="已取消"),"已关闭",IF(L8="待批准","未纳入",IF(G8&lt;'概览设置'!$B$5,"已逾期",IF(G8='概览设置'!$B$5,"今日到期","未到期"))))</x:f>
        <x:v>未到期</x:v>
      </x:c>
      <x:c r="P8" s="8" t="str"/>
      <x:c r="Q8" s="8" t="str"/>
    </x:row>
    <x:row r="9" ht="64" customHeight="1">
      <x:c r="A9" s="3" t="str">
        <x:v>C05</x:v>
      </x:c>
      <x:c r="B9" s="3" t="str">
        <x:v>策划</x:v>
      </x:c>
      <x:c r="C9" s="3" t="str">
        <x:v>君</x:v>
      </x:c>
      <x:c r="D9" s="3" t="str">
        <x:v>敌人行为、预警与基础参数</x:v>
      </x:c>
      <x:c r="E9" s="3" t="str">
        <x:v>P0</x:v>
      </x:c>
      <x:c r="F9" s="3" t="n">
        <x:v>2</x:v>
      </x:c>
      <x:c r="G9" s="3" t="n">
        <x:v>3</x:v>
      </x:c>
      <x:c r="H9" s="3" t="n">
        <x:v>6</x:v>
      </x:c>
      <x:c r="I9" s="3" t="str">
        <x:v>C02</x:v>
      </x:c>
      <x:c r="J9" s="3" t="str">
        <x:v>haski</x:v>
      </x:c>
      <x:c r="K9" s="3" t="str">
        <x:v>近战前摇、伤害、死亡回血配置明确</x:v>
      </x:c>
      <x:c r="L9" s="8" t="str">
        <x:v>待确认</x:v>
      </x:c>
      <x:c r="M9" s="8"/>
      <x:c r="N9" s="9" t="str">
        <x:f>IF('概览设置'!$B$4="","",'概览设置'!$B$4+G9-1)</x:f>
      </x:c>
      <x:c r="O9" s="6" t="str">
        <x:f>IF(OR(L9="已完成",L9="已取消"),"已关闭",IF(L9="待批准","未纳入",IF(G9&lt;'概览设置'!$B$5,"已逾期",IF(G9='概览设置'!$B$5,"今日到期","未到期"))))</x:f>
        <x:v>未到期</x:v>
      </x:c>
      <x:c r="P9" s="8" t="str"/>
      <x:c r="Q9" s="8" t="str"/>
    </x:row>
    <x:row r="10" ht="64" customHeight="1">
      <x:c r="A10" s="3" t="str">
        <x:v>C06</x:v>
      </x:c>
      <x:c r="B10" s="3" t="str">
        <x:v>策划</x:v>
      </x:c>
      <x:c r="C10" s="3" t="str">
        <x:v>S.Y.A</x:v>
      </x:c>
      <x:c r="D10" s="3" t="str">
        <x:v>能量表与功能测试矩阵</x:v>
      </x:c>
      <x:c r="E10" s="3" t="str">
        <x:v>P0</x:v>
      </x:c>
      <x:c r="F10" s="3" t="n">
        <x:v>2</x:v>
      </x:c>
      <x:c r="G10" s="3" t="n">
        <x:v>3</x:v>
      </x:c>
      <x:c r="H10" s="3" t="n">
        <x:v>5</x:v>
      </x:c>
      <x:c r="I10" s="3" t="str">
        <x:v>C01,C02</x:v>
      </x:c>
      <x:c r="J10" s="3" t="str">
        <x:v>祁海超</x:v>
      </x:c>
      <x:c r="K10" s="3" t="str">
        <x:v>能量单位、边界、暂停与重开用例齐全</x:v>
      </x:c>
      <x:c r="L10" s="8" t="str">
        <x:v>待确认</x:v>
      </x:c>
      <x:c r="M10" s="8"/>
      <x:c r="N10" s="9" t="str">
        <x:f>IF('概览设置'!$B$4="","",'概览设置'!$B$4+G10-1)</x:f>
      </x:c>
      <x:c r="O10" s="6" t="str">
        <x:f>IF(OR(L10="已完成",L10="已取消"),"已关闭",IF(L10="待批准","未纳入",IF(G10&lt;'概览设置'!$B$5,"已逾期",IF(G10='概览设置'!$B$5,"今日到期","未到期"))))</x:f>
        <x:v>未到期</x:v>
      </x:c>
      <x:c r="P10" s="8" t="str"/>
      <x:c r="Q10" s="8" t="str"/>
    </x:row>
    <x:row r="11" ht="64" customHeight="1">
      <x:c r="A11" s="3" t="str">
        <x:v>C07</x:v>
      </x:c>
      <x:c r="B11" s="3" t="str">
        <x:v>策划</x:v>
      </x:c>
      <x:c r="C11" s="3" t="str">
        <x:v>此地无银</x:v>
      </x:c>
      <x:c r="D11" s="3" t="str">
        <x:v>教学和跑酷首版灰盒</x:v>
      </x:c>
      <x:c r="E11" s="3" t="str">
        <x:v>P0</x:v>
      </x:c>
      <x:c r="F11" s="3" t="n">
        <x:v>3</x:v>
      </x:c>
      <x:c r="G11" s="3" t="n">
        <x:v>4</x:v>
      </x:c>
      <x:c r="H11" s="3" t="n">
        <x:v>10</x:v>
      </x:c>
      <x:c r="I11" s="3" t="str">
        <x:v>C03</x:v>
      </x:c>
      <x:c r="J11" s="3" t="str">
        <x:v>qwq</x:v>
      </x:c>
      <x:c r="K11" s="3" t="str">
        <x:v>跑跳、低障碍、蹬墙与安全落点可测</x:v>
      </x:c>
      <x:c r="L11" s="8" t="str">
        <x:v>待确认</x:v>
      </x:c>
      <x:c r="M11" s="8"/>
      <x:c r="N11" s="9" t="str">
        <x:f>IF('概览设置'!$B$4="","",'概览设置'!$B$4+G11-1)</x:f>
      </x:c>
      <x:c r="O11" s="6" t="str">
        <x:f>IF(OR(L11="已完成",L11="已取消"),"已关闭",IF(L11="待批准","未纳入",IF(G11&lt;'概览设置'!$B$5,"已逾期",IF(G11='概览设置'!$B$5,"今日到期","未到期"))))</x:f>
        <x:v>未到期</x:v>
      </x:c>
      <x:c r="P11" s="8" t="str"/>
      <x:c r="Q11" s="8" t="str"/>
    </x:row>
    <x:row r="12" ht="64" customHeight="1">
      <x:c r="A12" s="3" t="str">
        <x:v>C08</x:v>
      </x:c>
      <x:c r="B12" s="3" t="str">
        <x:v>策划</x:v>
      </x:c>
      <x:c r="C12" s="3" t="str">
        <x:v>qwq</x:v>
      </x:c>
      <x:c r="D12" s="3" t="str">
        <x:v>灰盒评审与尺寸修订</x:v>
      </x:c>
      <x:c r="E12" s="3" t="str">
        <x:v>P0</x:v>
      </x:c>
      <x:c r="F12" s="3" t="n">
        <x:v>4</x:v>
      </x:c>
      <x:c r="G12" s="3" t="n">
        <x:v>5</x:v>
      </x:c>
      <x:c r="H12" s="3" t="n">
        <x:v>5</x:v>
      </x:c>
      <x:c r="I12" s="3" t="str">
        <x:v>C07</x:v>
      </x:c>
      <x:c r="J12" s="3" t="str">
        <x:v>haski</x:v>
      </x:c>
      <x:c r="K12" s="3" t="str">
        <x:v>给出可执行的动线与跳跃距离修订</x:v>
      </x:c>
      <x:c r="L12" s="8" t="str">
        <x:v>待确认</x:v>
      </x:c>
      <x:c r="M12" s="8"/>
      <x:c r="N12" s="9" t="str">
        <x:f>IF('概览设置'!$B$4="","",'概览设置'!$B$4+G12-1)</x:f>
      </x:c>
      <x:c r="O12" s="6" t="str">
        <x:f>IF(OR(L12="已完成",L12="已取消"),"已关闭",IF(L12="待批准","未纳入",IF(G12&lt;'概览设置'!$B$5,"已逾期",IF(G12='概览设置'!$B$5,"今日到期","未到期"))))</x:f>
        <x:v>未到期</x:v>
      </x:c>
      <x:c r="P12" s="8" t="str"/>
      <x:c r="Q12" s="8" t="str"/>
    </x:row>
    <x:row r="13" ht="64" customHeight="1">
      <x:c r="A13" s="3" t="str">
        <x:v>C09</x:v>
      </x:c>
      <x:c r="B13" s="3" t="str">
        <x:v>策划</x:v>
      </x:c>
      <x:c r="C13" s="3" t="str">
        <x:v>haski</x:v>
      </x:c>
      <x:c r="D13" s="3" t="str">
        <x:v>首轮3C与战斗体验验收</x:v>
      </x:c>
      <x:c r="E13" s="3" t="str">
        <x:v>P0</x:v>
      </x:c>
      <x:c r="F13" s="3" t="n">
        <x:v>6</x:v>
      </x:c>
      <x:c r="G13" s="3" t="n">
        <x:v>6</x:v>
      </x:c>
      <x:c r="H13" s="3" t="n">
        <x:v>7</x:v>
      </x:c>
      <x:c r="I13" s="3" t="str">
        <x:v>P02,P05</x:v>
      </x:c>
      <x:c r="J13" s="3" t="str">
        <x:v>队长</x:v>
      </x:c>
      <x:c r="K13" s="3" t="str">
        <x:v>确认核心循环成立，批准必要动量简化</x:v>
      </x:c>
      <x:c r="L13" s="8" t="str">
        <x:v>待确认</x:v>
      </x:c>
      <x:c r="M13" s="8"/>
      <x:c r="N13" s="9" t="str">
        <x:f>IF('概览设置'!$B$4="","",'概览设置'!$B$4+G13-1)</x:f>
      </x:c>
      <x:c r="O13" s="6" t="str">
        <x:f>IF(OR(L13="已完成",L13="已取消"),"已关闭",IF(L13="待批准","未纳入",IF(G13&lt;'概览设置'!$B$5,"已逾期",IF(G13='概览设置'!$B$5,"今日到期","未到期"))))</x:f>
        <x:v>未到期</x:v>
      </x:c>
      <x:c r="P13" s="8" t="str"/>
      <x:c r="Q13" s="8" t="str"/>
    </x:row>
    <x:row r="14" ht="64" customHeight="1">
      <x:c r="A14" s="3" t="str">
        <x:v>C10</x:v>
      </x:c>
      <x:c r="B14" s="3" t="str">
        <x:v>策划</x:v>
      </x:c>
      <x:c r="C14" s="3" t="str">
        <x:v>KinoChain</x:v>
      </x:c>
      <x:c r="D14" s="3" t="str">
        <x:v>完整流程与裁剪清单</x:v>
      </x:c>
      <x:c r="E14" s="3" t="str">
        <x:v>P0</x:v>
      </x:c>
      <x:c r="F14" s="3" t="n">
        <x:v>6</x:v>
      </x:c>
      <x:c r="G14" s="3" t="n">
        <x:v>6</x:v>
      </x:c>
      <x:c r="H14" s="3" t="n">
        <x:v>5</x:v>
      </x:c>
      <x:c r="I14" s="3" t="str">
        <x:v>C09</x:v>
      </x:c>
      <x:c r="J14" s="3" t="str">
        <x:v>队长</x:v>
      </x:c>
      <x:c r="K14" s="3" t="str">
        <x:v>P0流程和可选项清晰，新增范围经批准</x:v>
      </x:c>
      <x:c r="L14" s="8" t="str">
        <x:v>待确认</x:v>
      </x:c>
      <x:c r="M14" s="8"/>
      <x:c r="N14" s="9" t="str">
        <x:f>IF('概览设置'!$B$4="","",'概览设置'!$B$4+G14-1)</x:f>
      </x:c>
      <x:c r="O14" s="6" t="str">
        <x:f>IF(OR(L14="已完成",L14="已取消"),"已关闭",IF(L14="待批准","未纳入",IF(G14&lt;'概览设置'!$B$5,"已逾期",IF(G14='概览设置'!$B$5,"今日到期","未到期"))))</x:f>
        <x:v>未到期</x:v>
      </x:c>
      <x:c r="P14" s="8" t="str"/>
      <x:c r="Q14" s="8" t="str"/>
    </x:row>
    <x:row r="15" ht="64" customHeight="1">
      <x:c r="A15" s="3" t="str">
        <x:v>C11</x:v>
      </x:c>
      <x:c r="B15" s="3" t="str">
        <x:v>策划</x:v>
      </x:c>
      <x:c r="C15" s="3" t="str">
        <x:v>此地无银</x:v>
      </x:c>
      <x:c r="D15" s="3" t="str">
        <x:v>连接固定房间与检查点配置</x:v>
      </x:c>
      <x:c r="E15" s="3" t="str">
        <x:v>P0</x:v>
      </x:c>
      <x:c r="F15" s="3" t="n">
        <x:v>5</x:v>
      </x:c>
      <x:c r="G15" s="3" t="n">
        <x:v>8</x:v>
      </x:c>
      <x:c r="H15" s="3" t="n">
        <x:v>14</x:v>
      </x:c>
      <x:c r="I15" s="3" t="str">
        <x:v>C07,C08</x:v>
      </x:c>
      <x:c r="J15" s="3" t="str">
        <x:v>qwq</x:v>
      </x:c>
      <x:c r="K15" s="3" t="str">
        <x:v>教学、战斗、跑酷、终点路线连续</x:v>
      </x:c>
      <x:c r="L15" s="8" t="str">
        <x:v>待确认</x:v>
      </x:c>
      <x:c r="M15" s="8"/>
      <x:c r="N15" s="9" t="str">
        <x:f>IF('概览设置'!$B$4="","",'概览设置'!$B$4+G15-1)</x:f>
      </x:c>
      <x:c r="O15" s="6" t="str">
        <x:f>IF(OR(L15="已完成",L15="已取消"),"已关闭",IF(L15="待批准","未纳入",IF(G15&lt;'概览设置'!$B$5,"已逾期",IF(G15='概览设置'!$B$5,"今日到期","未到期"))))</x:f>
        <x:v>未到期</x:v>
      </x:c>
      <x:c r="P15" s="8" t="str"/>
      <x:c r="Q15" s="8" t="str"/>
    </x:row>
    <x:row r="16" ht="64" customHeight="1">
      <x:c r="A16" s="3" t="str">
        <x:v>C12</x:v>
      </x:c>
      <x:c r="B16" s="3" t="str">
        <x:v>策划</x:v>
      </x:c>
      <x:c r="C16" s="3" t="str">
        <x:v>君</x:v>
      </x:c>
      <x:c r="D16" s="3" t="str">
        <x:v>波次、教程与结尾文案</x:v>
      </x:c>
      <x:c r="E16" s="3" t="str">
        <x:v>P0</x:v>
      </x:c>
      <x:c r="F16" s="3" t="n">
        <x:v>4</x:v>
      </x:c>
      <x:c r="G16" s="3" t="n">
        <x:v>8</x:v>
      </x:c>
      <x:c r="H16" s="3" t="n">
        <x:v>10</x:v>
      </x:c>
      <x:c r="I16" s="3" t="str">
        <x:v>C05,C04</x:v>
      </x:c>
      <x:c r="J16" s="3" t="str">
        <x:v>KinoChain</x:v>
      </x:c>
      <x:c r="K16" s="3" t="str">
        <x:v>波次可读、教程不过度打断节奏</x:v>
      </x:c>
      <x:c r="L16" s="8" t="str">
        <x:v>待确认</x:v>
      </x:c>
      <x:c r="M16" s="8"/>
      <x:c r="N16" s="9" t="str">
        <x:f>IF('概览设置'!$B$4="","",'概览设置'!$B$4+G16-1)</x:f>
      </x:c>
      <x:c r="O16" s="6" t="str">
        <x:f>IF(OR(L16="已完成",L16="已取消"),"已关闭",IF(L16="待批准","未纳入",IF(G16&lt;'概览设置'!$B$5,"已逾期",IF(G16='概览设置'!$B$5,"今日到期","未到期"))))</x:f>
        <x:v>未到期</x:v>
      </x:c>
      <x:c r="P16" s="8" t="str"/>
      <x:c r="Q16" s="8" t="str"/>
    </x:row>
    <x:row r="17" ht="64" customHeight="1">
      <x:c r="A17" s="3" t="str">
        <x:v>C13</x:v>
      </x:c>
      <x:c r="B17" s="3" t="str">
        <x:v>策划</x:v>
      </x:c>
      <x:c r="C17" s="3" t="str">
        <x:v>林晓风</x:v>
      </x:c>
      <x:c r="D17" s="3" t="str">
        <x:v>界面线框及功能验收</x:v>
      </x:c>
      <x:c r="E17" s="3" t="str">
        <x:v>P0</x:v>
      </x:c>
      <x:c r="F17" s="3" t="n">
        <x:v>3</x:v>
      </x:c>
      <x:c r="G17" s="3" t="n">
        <x:v>10</x:v>
      </x:c>
      <x:c r="H17" s="3" t="n">
        <x:v>7</x:v>
      </x:c>
      <x:c r="I17" s="3" t="str">
        <x:v>C04</x:v>
      </x:c>
      <x:c r="J17" s="3" t="str">
        <x:v>KinoChain</x:v>
      </x:c>
      <x:c r="K17" s="3" t="str">
        <x:v>界面字段、失败与重开路径测试通过</x:v>
      </x:c>
      <x:c r="L17" s="8" t="str">
        <x:v>待确认</x:v>
      </x:c>
      <x:c r="M17" s="8"/>
      <x:c r="N17" s="9" t="str">
        <x:f>IF('概览设置'!$B$4="","",'概览设置'!$B$4+G17-1)</x:f>
      </x:c>
      <x:c r="O17" s="6" t="str">
        <x:f>IF(OR(L17="已完成",L17="已取消"),"已关闭",IF(L17="待批准","未纳入",IF(G17&lt;'概览设置'!$B$5,"已逾期",IF(G17='概览设置'!$B$5,"今日到期","未到期"))))</x:f>
        <x:v>未到期</x:v>
      </x:c>
      <x:c r="P17" s="8" t="str"/>
      <x:c r="Q17" s="8" t="str"/>
    </x:row>
    <x:row r="18" ht="64" customHeight="1">
      <x:c r="A18" s="3" t="str">
        <x:v>C14</x:v>
      </x:c>
      <x:c r="B18" s="3" t="str">
        <x:v>策划</x:v>
      </x:c>
      <x:c r="C18" s="3" t="str">
        <x:v>qwq</x:v>
      </x:c>
      <x:c r="D18" s="3" t="str">
        <x:v>关卡连接与高速动线验收</x:v>
      </x:c>
      <x:c r="E18" s="3" t="str">
        <x:v>P0</x:v>
      </x:c>
      <x:c r="F18" s="3" t="n">
        <x:v>8</x:v>
      </x:c>
      <x:c r="G18" s="3" t="n">
        <x:v>10</x:v>
      </x:c>
      <x:c r="H18" s="3" t="n">
        <x:v>6</x:v>
      </x:c>
      <x:c r="I18" s="3" t="str">
        <x:v>C11,P13</x:v>
      </x:c>
      <x:c r="J18" s="3" t="str">
        <x:v>队长</x:v>
      </x:c>
      <x:c r="K18" s="3" t="str">
        <x:v>没有落点陷阱、门软锁和明显错误引导</x:v>
      </x:c>
      <x:c r="L18" s="8" t="str">
        <x:v>待确认</x:v>
      </x:c>
      <x:c r="M18" s="8"/>
      <x:c r="N18" s="9" t="str">
        <x:f>IF('概览设置'!$B$4="","",'概览设置'!$B$4+G18-1)</x:f>
      </x:c>
      <x:c r="O18" s="6" t="str">
        <x:f>IF(OR(L18="已完成",L18="已取消"),"已关闭",IF(L18="待批准","未纳入",IF(G18&lt;'概览设置'!$B$5,"已逾期",IF(G18='概览设置'!$B$5,"今日到期","未到期"))))</x:f>
        <x:v>未到期</x:v>
      </x:c>
      <x:c r="P18" s="8" t="str"/>
      <x:c r="Q18" s="8" t="str"/>
    </x:row>
    <x:row r="19" ht="64" customHeight="1">
      <x:c r="A19" s="3" t="str">
        <x:v>C15</x:v>
      </x:c>
      <x:c r="B19" s="3" t="str">
        <x:v>策划</x:v>
      </x:c>
      <x:c r="C19" s="3" t="str">
        <x:v>haski</x:v>
      </x:c>
      <x:c r="D19" s="3" t="str">
        <x:v>参数平衡与战斗冻结</x:v>
      </x:c>
      <x:c r="E19" s="3" t="str">
        <x:v>P0</x:v>
      </x:c>
      <x:c r="F19" s="3" t="n">
        <x:v>9</x:v>
      </x:c>
      <x:c r="G19" s="3" t="n">
        <x:v>12</x:v>
      </x:c>
      <x:c r="H19" s="3" t="n">
        <x:v>8</x:v>
      </x:c>
      <x:c r="I19" s="3" t="str">
        <x:v>P06,P09</x:v>
      </x:c>
      <x:c r="J19" s="3" t="str">
        <x:v>队长</x:v>
      </x:c>
      <x:c r="K19" s="3" t="str">
        <x:v>无敌/伤害/速度/能量形成可玩基线</x:v>
      </x:c>
      <x:c r="L19" s="8" t="str">
        <x:v>待确认</x:v>
      </x:c>
      <x:c r="M19" s="8"/>
      <x:c r="N19" s="9" t="str">
        <x:f>IF('概览设置'!$B$4="","",'概览设置'!$B$4+G19-1)</x:f>
      </x:c>
      <x:c r="O19" s="6" t="str">
        <x:f>IF(OR(L19="已完成",L19="已取消"),"已关闭",IF(L19="待批准","未纳入",IF(G19&lt;'概览设置'!$B$5,"已逾期",IF(G19='概览设置'!$B$5,"今日到期","未到期"))))</x:f>
        <x:v>未到期</x:v>
      </x:c>
      <x:c r="P19" s="8" t="str"/>
      <x:c r="Q19" s="8" t="str"/>
    </x:row>
    <x:row r="20" ht="64" customHeight="1">
      <x:c r="A20" s="3" t="str">
        <x:v>C16</x:v>
      </x:c>
      <x:c r="B20" s="3" t="str">
        <x:v>策划</x:v>
      </x:c>
      <x:c r="C20" s="3" t="str">
        <x:v>KinoChain</x:v>
      </x:c>
      <x:c r="D20" s="3" t="str">
        <x:v>系统范围冻结与变更记录</x:v>
      </x:c>
      <x:c r="E20" s="3" t="str">
        <x:v>P0</x:v>
      </x:c>
      <x:c r="F20" s="3" t="n">
        <x:v>10</x:v>
      </x:c>
      <x:c r="G20" s="3" t="n">
        <x:v>12</x:v>
      </x:c>
      <x:c r="H20" s="3" t="n">
        <x:v>4</x:v>
      </x:c>
      <x:c r="I20" s="3" t="str">
        <x:v>C10</x:v>
      </x:c>
      <x:c r="J20" s="3" t="str">
        <x:v>队长</x:v>
      </x:c>
      <x:c r="K20" s="3" t="str">
        <x:v>所有P0有验收人，未实现项明确记录</x:v>
      </x:c>
      <x:c r="L20" s="8" t="str">
        <x:v>待确认</x:v>
      </x:c>
      <x:c r="M20" s="8"/>
      <x:c r="N20" s="9" t="str">
        <x:f>IF('概览设置'!$B$4="","",'概览设置'!$B$4+G20-1)</x:f>
      </x:c>
      <x:c r="O20" s="6" t="str">
        <x:f>IF(OR(L20="已完成",L20="已取消"),"已关闭",IF(L20="待批准","未纳入",IF(G20&lt;'概览设置'!$B$5,"已逾期",IF(G20='概览设置'!$B$5,"今日到期","未到期"))))</x:f>
        <x:v>未到期</x:v>
      </x:c>
      <x:c r="P20" s="8" t="str"/>
      <x:c r="Q20" s="8" t="str"/>
    </x:row>
    <x:row r="21" ht="64" customHeight="1">
      <x:c r="A21" s="3" t="str">
        <x:v>C17</x:v>
      </x:c>
      <x:c r="B21" s="3" t="str">
        <x:v>策划</x:v>
      </x:c>
      <x:c r="C21" s="3" t="str">
        <x:v>此地无银</x:v>
      </x:c>
      <x:c r="D21" s="3" t="str">
        <x:v>关卡修订与验收</x:v>
      </x:c>
      <x:c r="E21" s="3" t="str">
        <x:v>P0</x:v>
      </x:c>
      <x:c r="F21" s="3" t="n">
        <x:v>10</x:v>
      </x:c>
      <x:c r="G21" s="3" t="n">
        <x:v>12</x:v>
      </x:c>
      <x:c r="H21" s="3" t="n">
        <x:v>10</x:v>
      </x:c>
      <x:c r="I21" s="3" t="str">
        <x:v>C14</x:v>
      </x:c>
      <x:c r="J21" s="3" t="str">
        <x:v>qwq</x:v>
      </x:c>
      <x:c r="K21" s="3" t="str">
        <x:v>灰盒全程可通关，关卡参数冻结</x:v>
      </x:c>
      <x:c r="L21" s="8" t="str">
        <x:v>待确认</x:v>
      </x:c>
      <x:c r="M21" s="8"/>
      <x:c r="N21" s="9" t="str">
        <x:f>IF('概览设置'!$B$4="","",'概览设置'!$B$4+G21-1)</x:f>
      </x:c>
      <x:c r="O21" s="6" t="str">
        <x:f>IF(OR(L21="已完成",L21="已取消"),"已关闭",IF(L21="待批准","未纳入",IF(G21&lt;'概览设置'!$B$5,"已逾期",IF(G21='概览设置'!$B$5,"今日到期","未到期"))))</x:f>
        <x:v>未到期</x:v>
      </x:c>
      <x:c r="P21" s="8" t="str"/>
      <x:c r="Q21" s="8" t="str"/>
    </x:row>
    <x:row r="22" ht="64" customHeight="1">
      <x:c r="A22" s="3" t="str">
        <x:v>C18</x:v>
      </x:c>
      <x:c r="B22" s="3" t="str">
        <x:v>策划</x:v>
      </x:c>
      <x:c r="C22" s="3" t="str">
        <x:v>君</x:v>
      </x:c>
      <x:c r="D22" s="3" t="str">
        <x:v>波次平衡及文案冻结</x:v>
      </x:c>
      <x:c r="E22" s="3" t="str">
        <x:v>P0</x:v>
      </x:c>
      <x:c r="F22" s="3" t="n">
        <x:v>9</x:v>
      </x:c>
      <x:c r="G22" s="3" t="n">
        <x:v>12</x:v>
      </x:c>
      <x:c r="H22" s="3" t="n">
        <x:v>8</x:v>
      </x:c>
      <x:c r="I22" s="3" t="str">
        <x:v>C12,P06</x:v>
      </x:c>
      <x:c r="J22" s="3" t="str">
        <x:v>haski</x:v>
      </x:c>
      <x:c r="K22" s="3" t="str">
        <x:v>敌人压力合理，提示和结尾文字定稿</x:v>
      </x:c>
      <x:c r="L22" s="8" t="str">
        <x:v>待确认</x:v>
      </x:c>
      <x:c r="M22" s="8"/>
      <x:c r="N22" s="9" t="str">
        <x:f>IF('概览设置'!$B$4="","",'概览设置'!$B$4+G22-1)</x:f>
      </x:c>
      <x:c r="O22" s="6" t="str">
        <x:f>IF(OR(L22="已完成",L22="已取消"),"已关闭",IF(L22="待批准","未纳入",IF(G22&lt;'概览设置'!$B$5,"已逾期",IF(G22='概览设置'!$B$5,"今日到期","未到期"))))</x:f>
        <x:v>未到期</x:v>
      </x:c>
      <x:c r="P22" s="8" t="str"/>
      <x:c r="Q22" s="8" t="str"/>
    </x:row>
    <x:row r="23" ht="64" customHeight="1">
      <x:c r="A23" s="3" t="str">
        <x:v>C19</x:v>
      </x:c>
      <x:c r="B23" s="3" t="str">
        <x:v>策划</x:v>
      </x:c>
      <x:c r="C23" s="3" t="str">
        <x:v>S.Y.A</x:v>
      </x:c>
      <x:c r="D23" s="3" t="str">
        <x:v>功能回归及缺陷复现</x:v>
      </x:c>
      <x:c r="E23" s="3" t="str">
        <x:v>P0</x:v>
      </x:c>
      <x:c r="F23" s="3" t="n">
        <x:v>6</x:v>
      </x:c>
      <x:c r="G23" s="3" t="n">
        <x:v>18</x:v>
      </x:c>
      <x:c r="H23" s="3" t="n">
        <x:v>11</x:v>
      </x:c>
      <x:c r="I23" s="3" t="str">
        <x:v>C06</x:v>
      </x:c>
      <x:c r="J23" s="3" t="str">
        <x:v>绯云</x:v>
      </x:c>
      <x:c r="K23" s="3" t="str">
        <x:v>逐版记录复现步骤、版本与修复结果</x:v>
      </x:c>
      <x:c r="L23" s="8" t="str">
        <x:v>待确认</x:v>
      </x:c>
      <x:c r="M23" s="8"/>
      <x:c r="N23" s="9" t="str">
        <x:f>IF('概览设置'!$B$4="","",'概览设置'!$B$4+G23-1)</x:f>
      </x:c>
      <x:c r="O23" s="6" t="str">
        <x:f>IF(OR(L23="已完成",L23="已取消"),"已关闭",IF(L23="待批准","未纳入",IF(G23&lt;'概览设置'!$B$5,"已逾期",IF(G23='概览设置'!$B$5,"今日到期","未到期"))))</x:f>
        <x:v>未到期</x:v>
      </x:c>
      <x:c r="P23" s="8" t="str"/>
      <x:c r="Q23" s="8" t="str"/>
    </x:row>
    <x:row r="24" ht="64" customHeight="1">
      <x:c r="A24" s="3" t="str">
        <x:v>C20</x:v>
      </x:c>
      <x:c r="B24" s="3" t="str">
        <x:v>策划</x:v>
      </x:c>
      <x:c r="C24" s="3" t="str">
        <x:v>Dr.鸣</x:v>
      </x:c>
      <x:c r="D24" s="3" t="str">
        <x:v>新手试玩与输入问题记录</x:v>
      </x:c>
      <x:c r="E24" s="3" t="str">
        <x:v>P0</x:v>
      </x:c>
      <x:c r="F24" s="3" t="n">
        <x:v>5</x:v>
      </x:c>
      <x:c r="G24" s="3" t="n">
        <x:v>12</x:v>
      </x:c>
      <x:c r="H24" s="3" t="n">
        <x:v>7</x:v>
      </x:c>
      <x:c r="I24" s="3" t="str">
        <x:v>P02</x:v>
      </x:c>
      <x:c r="J24" s="3" t="str">
        <x:v>haski</x:v>
      </x:c>
      <x:c r="K24" s="3" t="str">
        <x:v>每次约1h，提交可复现的理解/操作障碍</x:v>
      </x:c>
      <x:c r="L24" s="8" t="str">
        <x:v>待确认</x:v>
      </x:c>
      <x:c r="M24" s="8"/>
      <x:c r="N24" s="9" t="str">
        <x:f>IF('概览设置'!$B$4="","",'概览设置'!$B$4+G24-1)</x:f>
      </x:c>
      <x:c r="O24" s="6" t="str">
        <x:f>IF(OR(L24="已完成",L24="已取消"),"已关闭",IF(L24="待批准","未纳入",IF(G24&lt;'概览设置'!$B$5,"已逾期",IF(G24='概览设置'!$B$5,"今日到期","未到期"))))</x:f>
        <x:v>未到期</x:v>
      </x:c>
      <x:c r="P24" s="8" t="str"/>
      <x:c r="Q24" s="8" t="str"/>
    </x:row>
    <x:row r="25" ht="64" customHeight="1">
      <x:c r="A25" s="3" t="str">
        <x:v>C21</x:v>
      </x:c>
      <x:c r="B25" s="3" t="str">
        <x:v>策划</x:v>
      </x:c>
      <x:c r="C25" s="3" t="str">
        <x:v>Dr.鸣</x:v>
      </x:c>
      <x:c r="D25" s="3" t="str">
        <x:v>RC试玩、提示校对与回归</x:v>
      </x:c>
      <x:c r="E25" s="3" t="str">
        <x:v>P0</x:v>
      </x:c>
      <x:c r="F25" s="3" t="n">
        <x:v>13</x:v>
      </x:c>
      <x:c r="G25" s="3" t="n">
        <x:v>19</x:v>
      </x:c>
      <x:c r="H25" s="3" t="n">
        <x:v>7</x:v>
      </x:c>
      <x:c r="I25" s="3" t="str">
        <x:v>P16</x:v>
      </x:c>
      <x:c r="J25" s="3" t="str">
        <x:v>KinoChain</x:v>
      </x:c>
      <x:c r="K25" s="3" t="str">
        <x:v>从启动到通关/重开验证并记录结果</x:v>
      </x:c>
      <x:c r="L25" s="8" t="str">
        <x:v>待确认</x:v>
      </x:c>
      <x:c r="M25" s="8"/>
      <x:c r="N25" s="9" t="str">
        <x:f>IF('概览设置'!$B$4="","",'概览设置'!$B$4+G25-1)</x:f>
      </x:c>
      <x:c r="O25" s="6" t="str">
        <x:f>IF(OR(L25="已完成",L25="已取消"),"已关闭",IF(L25="待批准","未纳入",IF(G25&lt;'概览设置'!$B$5,"已逾期",IF(G25='概览设置'!$B$5,"今日到期","未到期"))))</x:f>
        <x:v>未到期</x:v>
      </x:c>
      <x:c r="P25" s="8" t="str"/>
      <x:c r="Q25" s="8" t="str"/>
    </x:row>
    <x:row r="26" ht="64" customHeight="1">
      <x:c r="A26" s="3" t="str">
        <x:v>C22</x:v>
      </x:c>
      <x:c r="B26" s="3" t="str">
        <x:v>策划</x:v>
      </x:c>
      <x:c r="C26" s="3" t="str">
        <x:v>林晓风</x:v>
      </x:c>
      <x:c r="D26" s="3" t="str">
        <x:v>UI与失败流程回归</x:v>
      </x:c>
      <x:c r="E26" s="3" t="str">
        <x:v>P0</x:v>
      </x:c>
      <x:c r="F26" s="3" t="n">
        <x:v>11</x:v>
      </x:c>
      <x:c r="G26" s="3" t="n">
        <x:v>18</x:v>
      </x:c>
      <x:c r="H26" s="3" t="n">
        <x:v>6</x:v>
      </x:c>
      <x:c r="I26" s="3" t="str">
        <x:v>P16</x:v>
      </x:c>
      <x:c r="J26" s="3" t="str">
        <x:v>1382263</x:v>
      </x:c>
      <x:c r="K26" s="3" t="str">
        <x:v>暂停、死亡、重开状态一致</x:v>
      </x:c>
      <x:c r="L26" s="8" t="str">
        <x:v>待确认</x:v>
      </x:c>
      <x:c r="M26" s="8"/>
      <x:c r="N26" s="9" t="str">
        <x:f>IF('概览设置'!$B$4="","",'概览设置'!$B$4+G26-1)</x:f>
      </x:c>
      <x:c r="O26" s="6" t="str">
        <x:f>IF(OR(L26="已完成",L26="已取消"),"已关闭",IF(L26="待批准","未纳入",IF(G26&lt;'概览设置'!$B$5,"已逾期",IF(G26='概览设置'!$B$5,"今日到期","未到期"))))</x:f>
        <x:v>未到期</x:v>
      </x:c>
      <x:c r="P26" s="8" t="str"/>
      <x:c r="Q26" s="8" t="str"/>
    </x:row>
    <x:row r="27" ht="64" customHeight="1">
      <x:c r="A27" s="3" t="str">
        <x:v>C23</x:v>
      </x:c>
      <x:c r="B27" s="3" t="str">
        <x:v>策划</x:v>
      </x:c>
      <x:c r="C27" s="3" t="str">
        <x:v>haski</x:v>
      </x:c>
      <x:c r="D27" s="3" t="str">
        <x:v>最终战斗回归</x:v>
      </x:c>
      <x:c r="E27" s="3" t="str">
        <x:v>P0</x:v>
      </x:c>
      <x:c r="F27" s="3" t="n">
        <x:v>15</x:v>
      </x:c>
      <x:c r="G27" s="3" t="n">
        <x:v>19</x:v>
      </x:c>
      <x:c r="H27" s="3" t="n">
        <x:v>6</x:v>
      </x:c>
      <x:c r="I27" s="3" t="str">
        <x:v>C15</x:v>
      </x:c>
      <x:c r="J27" s="3" t="str">
        <x:v>队长</x:v>
      </x:c>
      <x:c r="K27" s="3" t="str">
        <x:v>阻断与高影响战斗问题关闭</x:v>
      </x:c>
      <x:c r="L27" s="8" t="str">
        <x:v>待确认</x:v>
      </x:c>
      <x:c r="M27" s="8"/>
      <x:c r="N27" s="9" t="str">
        <x:f>IF('概览设置'!$B$4="","",'概览设置'!$B$4+G27-1)</x:f>
      </x:c>
      <x:c r="O27" s="6" t="str">
        <x:f>IF(OR(L27="已完成",L27="已取消"),"已关闭",IF(L27="待批准","未纳入",IF(G27&lt;'概览设置'!$B$5,"已逾期",IF(G27='概览设置'!$B$5,"今日到期","未到期"))))</x:f>
        <x:v>未到期</x:v>
      </x:c>
      <x:c r="P27" s="8" t="str"/>
      <x:c r="Q27" s="8" t="str"/>
    </x:row>
    <x:row r="28" ht="64" customHeight="1">
      <x:c r="A28" s="3" t="str">
        <x:v>C24</x:v>
      </x:c>
      <x:c r="B28" s="3" t="str">
        <x:v>策划</x:v>
      </x:c>
      <x:c r="C28" s="3" t="str">
        <x:v>KinoChain</x:v>
      </x:c>
      <x:c r="D28" s="3" t="str">
        <x:v>提交材料与最终验收确认</x:v>
      </x:c>
      <x:c r="E28" s="3" t="str">
        <x:v>P0</x:v>
      </x:c>
      <x:c r="F28" s="3" t="n">
        <x:v>17</x:v>
      </x:c>
      <x:c r="G28" s="3" t="n">
        <x:v>20</x:v>
      </x:c>
      <x:c r="H28" s="3" t="n">
        <x:v>7</x:v>
      </x:c>
      <x:c r="I28" s="3" t="str">
        <x:v>C16</x:v>
      </x:c>
      <x:c r="J28" s="3" t="str">
        <x:v>队长</x:v>
      </x:c>
      <x:c r="K28" s="3" t="str">
        <x:v>署名、说明、交付状态与线上版本核对</x:v>
      </x:c>
      <x:c r="L28" s="8" t="str">
        <x:v>待确认</x:v>
      </x:c>
      <x:c r="M28" s="8"/>
      <x:c r="N28" s="9" t="str">
        <x:f>IF('概览设置'!$B$4="","",'概览设置'!$B$4+G28-1)</x:f>
      </x:c>
      <x:c r="O28" s="6" t="str">
        <x:f>IF(OR(L28="已完成",L28="已取消"),"已关闭",IF(L28="待批准","未纳入",IF(G28&lt;'概览设置'!$B$5,"已逾期",IF(G28='概览设置'!$B$5,"今日到期","未到期"))))</x:f>
        <x:v>未到期</x:v>
      </x:c>
      <x:c r="P28" s="8" t="str"/>
      <x:c r="Q28" s="8" t="str"/>
    </x:row>
    <x:row r="29" ht="64" customHeight="1">
      <x:c r="A29" s="3" t="str">
        <x:v>C25</x:v>
      </x:c>
      <x:c r="B29" s="3" t="str">
        <x:v>策划</x:v>
      </x:c>
      <x:c r="C29" s="3" t="str">
        <x:v>君</x:v>
      </x:c>
      <x:c r="D29" s="3" t="str">
        <x:v>终版波次与文案回归</x:v>
      </x:c>
      <x:c r="E29" s="3" t="str">
        <x:v>P0</x:v>
      </x:c>
      <x:c r="F29" s="3" t="n">
        <x:v>15</x:v>
      </x:c>
      <x:c r="G29" s="3" t="n">
        <x:v>18</x:v>
      </x:c>
      <x:c r="H29" s="3" t="n">
        <x:v>6</x:v>
      </x:c>
      <x:c r="I29" s="3" t="str">
        <x:v>C18</x:v>
      </x:c>
      <x:c r="J29" s="3" t="str">
        <x:v>haski</x:v>
      </x:c>
      <x:c r="K29" s="3" t="str">
        <x:v>配置与文案不引入阻断</x:v>
      </x:c>
      <x:c r="L29" s="8" t="str">
        <x:v>待确认</x:v>
      </x:c>
      <x:c r="M29" s="8"/>
      <x:c r="N29" s="9" t="str">
        <x:f>IF('概览设置'!$B$4="","",'概览设置'!$B$4+G29-1)</x:f>
      </x:c>
      <x:c r="O29" s="6" t="str">
        <x:f>IF(OR(L29="已完成",L29="已取消"),"已关闭",IF(L29="待批准","未纳入",IF(G29&lt;'概览设置'!$B$5,"已逾期",IF(G29='概览设置'!$B$5,"今日到期","未到期"))))</x:f>
        <x:v>未到期</x:v>
      </x:c>
      <x:c r="P29" s="8" t="str"/>
      <x:c r="Q29" s="8" t="str"/>
    </x:row>
    <x:row r="30" ht="64" customHeight="1">
      <x:c r="A30" s="3" t="str">
        <x:v>C26</x:v>
      </x:c>
      <x:c r="B30" s="3" t="str">
        <x:v>策划</x:v>
      </x:c>
      <x:c r="C30" s="3" t="str">
        <x:v>qwq</x:v>
      </x:c>
      <x:c r="D30" s="3" t="str">
        <x:v>终版关卡评审</x:v>
      </x:c>
      <x:c r="E30" s="3" t="str">
        <x:v>P0</x:v>
      </x:c>
      <x:c r="F30" s="3" t="n">
        <x:v>15</x:v>
      </x:c>
      <x:c r="G30" s="3" t="n">
        <x:v>18</x:v>
      </x:c>
      <x:c r="H30" s="3" t="n">
        <x:v>5</x:v>
      </x:c>
      <x:c r="I30" s="3" t="str">
        <x:v>C17</x:v>
      </x:c>
      <x:c r="J30" s="3" t="str">
        <x:v>队长</x:v>
      </x:c>
      <x:c r="K30" s="3" t="str">
        <x:v>动线可读、完整流程无软锁</x:v>
      </x:c>
      <x:c r="L30" s="8" t="str">
        <x:v>待确认</x:v>
      </x:c>
      <x:c r="M30" s="8"/>
      <x:c r="N30" s="9" t="str">
        <x:f>IF('概览设置'!$B$4="","",'概览设置'!$B$4+G30-1)</x:f>
      </x:c>
      <x:c r="O30" s="6" t="str">
        <x:f>IF(OR(L30="已完成",L30="已取消"),"已关闭",IF(L30="待批准","未纳入",IF(G30&lt;'概览设置'!$B$5,"已逾期",IF(G30='概览设置'!$B$5,"今日到期","未到期"))))</x:f>
        <x:v>未到期</x:v>
      </x:c>
      <x:c r="P30" s="8" t="str"/>
      <x:c r="Q30" s="8" t="str"/>
    </x:row>
    <x:row r="31" ht="64" customHeight="1">
      <x:c r="A31" s="3" t="str">
        <x:v>C27</x:v>
      </x:c>
      <x:c r="B31" s="3" t="str">
        <x:v>策划</x:v>
      </x:c>
      <x:c r="C31" s="3" t="str">
        <x:v>此地无银</x:v>
      </x:c>
      <x:c r="D31" s="3" t="str">
        <x:v>关卡缺陷修复与复测</x:v>
      </x:c>
      <x:c r="E31" s="3" t="str">
        <x:v>P0</x:v>
      </x:c>
      <x:c r="F31" s="3" t="n">
        <x:v>13</x:v>
      </x:c>
      <x:c r="G31" s="3" t="n">
        <x:v>18</x:v>
      </x:c>
      <x:c r="H31" s="3" t="n">
        <x:v>6</x:v>
      </x:c>
      <x:c r="I31" s="3" t="str">
        <x:v>C17</x:v>
      </x:c>
      <x:c r="J31" s="3" t="str">
        <x:v>qwq</x:v>
      </x:c>
      <x:c r="K31" s="3" t="str">
        <x:v>越界/落点/检查点问题复测通过</x:v>
      </x:c>
      <x:c r="L31" s="8" t="str">
        <x:v>待确认</x:v>
      </x:c>
      <x:c r="M31" s="8"/>
      <x:c r="N31" s="9" t="str">
        <x:f>IF('概览设置'!$B$4="","",'概览设置'!$B$4+G31-1)</x:f>
      </x:c>
      <x:c r="O31" s="6" t="str">
        <x:f>IF(OR(L31="已完成",L31="已取消"),"已关闭",IF(L31="待批准","未纳入",IF(G31&lt;'概览设置'!$B$5,"已逾期",IF(G31='概览设置'!$B$5,"今日到期","未到期"))))</x:f>
        <x:v>未到期</x:v>
      </x:c>
      <x:c r="P31" s="8" t="str"/>
      <x:c r="Q31" s="8" t="str"/>
    </x:row>
    <x:row r="32" ht="64" customHeight="1">
      <x:c r="A32" s="3" t="str">
        <x:v>C28</x:v>
      </x:c>
      <x:c r="B32" s="3" t="str">
        <x:v>策划</x:v>
      </x:c>
      <x:c r="C32" s="3" t="str">
        <x:v>S.Y.A</x:v>
      </x:c>
      <x:c r="D32" s="3" t="str">
        <x:v>交付验收清单核对</x:v>
      </x:c>
      <x:c r="E32" s="3" t="str">
        <x:v>P0</x:v>
      </x:c>
      <x:c r="F32" s="3" t="n">
        <x:v>18</x:v>
      </x:c>
      <x:c r="G32" s="3" t="n">
        <x:v>20</x:v>
      </x:c>
      <x:c r="H32" s="3" t="n">
        <x:v>4</x:v>
      </x:c>
      <x:c r="I32" s="3" t="str">
        <x:v>C19</x:v>
      </x:c>
      <x:c r="J32" s="3" t="str">
        <x:v>队长</x:v>
      </x:c>
      <x:c r="K32" s="3" t="str">
        <x:v>最终包、版本、授权与提交凭证核对</x:v>
      </x:c>
      <x:c r="L32" s="8" t="str">
        <x:v>待确认</x:v>
      </x:c>
      <x:c r="M32" s="8"/>
      <x:c r="N32" s="9" t="str">
        <x:f>IF('概览设置'!$B$4="","",'概览设置'!$B$4+G32-1)</x:f>
      </x:c>
      <x:c r="O32" s="6" t="str">
        <x:f>IF(OR(L32="已完成",L32="已取消"),"已关闭",IF(L32="待批准","未纳入",IF(G32&lt;'概览设置'!$B$5,"已逾期",IF(G32='概览设置'!$B$5,"今日到期","未到期"))))</x:f>
        <x:v>未到期</x:v>
      </x:c>
      <x:c r="P32" s="8" t="str"/>
      <x:c r="Q32" s="8" t="str"/>
    </x:row>
    <x:row r="33" ht="64" customHeight="1">
      <x:c r="A33" s="3" t="str">
        <x:v>C29</x:v>
      </x:c>
      <x:c r="B33" s="3" t="str">
        <x:v>策划</x:v>
      </x:c>
      <x:c r="C33" s="3" t="str">
        <x:v>林晓风</x:v>
      </x:c>
      <x:c r="D33" s="3" t="str">
        <x:v>操作说明与界面终检</x:v>
      </x:c>
      <x:c r="E33" s="3" t="str">
        <x:v>P0</x:v>
      </x:c>
      <x:c r="F33" s="3" t="n">
        <x:v>18</x:v>
      </x:c>
      <x:c r="G33" s="3" t="n">
        <x:v>19</x:v>
      </x:c>
      <x:c r="H33" s="3" t="n">
        <x:v>2</x:v>
      </x:c>
      <x:c r="I33" s="3" t="str">
        <x:v>C22</x:v>
      </x:c>
      <x:c r="J33" s="3" t="str">
        <x:v>KinoChain</x:v>
      </x:c>
      <x:c r="K33" s="3" t="str">
        <x:v>提交版操作说明与实际键位一致</x:v>
      </x:c>
      <x:c r="L33" s="8" t="str">
        <x:v>待确认</x:v>
      </x:c>
      <x:c r="M33" s="8"/>
      <x:c r="N33" s="9" t="str">
        <x:f>IF('概览设置'!$B$4="","",'概览设置'!$B$4+G33-1)</x:f>
      </x:c>
      <x:c r="O33" s="6" t="str">
        <x:f>IF(OR(L33="已完成",L33="已取消"),"已关闭",IF(L33="待批准","未纳入",IF(G33&lt;'概览设置'!$B$5,"已逾期",IF(G33='概览设置'!$B$5,"今日到期","未到期"))))</x:f>
        <x:v>未到期</x:v>
      </x:c>
      <x:c r="P33" s="8" t="str"/>
      <x:c r="Q33" s="8" t="str"/>
    </x:row>
    <x:row r="34" ht="64" customHeight="1">
      <x:c r="A34" s="3" t="str">
        <x:v>P01</x:v>
      </x:c>
      <x:c r="B34" s="3" t="str">
        <x:v>程序</x:v>
      </x:c>
      <x:c r="C34" s="3" t="str">
        <x:v>绯云</x:v>
      </x:c>
      <x:c r="D34" s="3" t="str">
        <x:v>工程启动、共享接口与可构建小样</x:v>
      </x:c>
      <x:c r="E34" s="3" t="str">
        <x:v>P0</x:v>
      </x:c>
      <x:c r="F34" s="3" t="n">
        <x:v>1</x:v>
      </x:c>
      <x:c r="G34" s="3" t="n">
        <x:v>2</x:v>
      </x:c>
      <x:c r="H34" s="3" t="n">
        <x:v>4</x:v>
      </x:c>
      <x:c r="I34" s="3" t="str">
        <x:v>无</x:v>
      </x:c>
      <x:c r="J34" s="3" t="str">
        <x:v>队长</x:v>
      </x:c>
      <x:c r="K34" s="3" t="str">
        <x:v>统一版本，定义伤害/状态/房间事件接口</x:v>
      </x:c>
      <x:c r="L34" s="8" t="str">
        <x:v>待确认</x:v>
      </x:c>
      <x:c r="M34" s="8"/>
      <x:c r="N34" s="9" t="str">
        <x:f>IF('概览设置'!$B$4="","",'概览设置'!$B$4+G34-1)</x:f>
      </x:c>
      <x:c r="O34" s="6" t="str">
        <x:f>IF(OR(L34="已完成",L34="已取消"),"已关闭",IF(L34="待批准","未纳入",IF(G34&lt;'概览设置'!$B$5,"已逾期",IF(G34='概览设置'!$B$5,"今日到期","未到期"))))</x:f>
        <x:v>未到期</x:v>
      </x:c>
      <x:c r="P34" s="8" t="str"/>
      <x:c r="Q34" s="8" t="str"/>
    </x:row>
    <x:row r="35" ht="64" customHeight="1">
      <x:c r="A35" s="3" t="str">
        <x:v>P02</x:v>
      </x:c>
      <x:c r="B35" s="3" t="str">
        <x:v>程序</x:v>
      </x:c>
      <x:c r="C35" s="3" t="str">
        <x:v>绯云</x:v>
      </x:c>
      <x:c r="D35" s="3" t="str">
        <x:v>相机、基础移动与兔子跳</x:v>
      </x:c>
      <x:c r="E35" s="3" t="str">
        <x:v>P0</x:v>
      </x:c>
      <x:c r="F35" s="3" t="n">
        <x:v>2</x:v>
      </x:c>
      <x:c r="G35" s="3" t="n">
        <x:v>5</x:v>
      </x:c>
      <x:c r="H35" s="3" t="n">
        <x:v>14</x:v>
      </x:c>
      <x:c r="I35" s="3" t="str">
        <x:v>C02,P01</x:v>
      </x:c>
      <x:c r="J35" s="3" t="str">
        <x:v>haski</x:v>
      </x:c>
      <x:c r="K35" s="3" t="str">
        <x:v>落地窗口和预输入有效，渲染帧率不影响速度规则</x:v>
      </x:c>
      <x:c r="L35" s="8" t="str">
        <x:v>待确认</x:v>
      </x:c>
      <x:c r="M35" s="8"/>
      <x:c r="N35" s="9" t="str">
        <x:f>IF('概览设置'!$B$4="","",'概览设置'!$B$4+G35-1)</x:f>
      </x:c>
      <x:c r="O35" s="6" t="str">
        <x:f>IF(OR(L35="已完成",L35="已取消"),"已关闭",IF(L35="待批准","未纳入",IF(G35&lt;'概览设置'!$B$5,"已逾期",IF(G35='概览设置'!$B$5,"今日到期","未到期"))))</x:f>
        <x:v>未到期</x:v>
      </x:c>
      <x:c r="P35" s="8" t="str"/>
      <x:c r="Q35" s="8" t="str"/>
    </x:row>
    <x:row r="36" ht="64" customHeight="1">
      <x:c r="A36" s="3" t="str">
        <x:v>P03</x:v>
      </x:c>
      <x:c r="B36" s="3" t="str">
        <x:v>程序</x:v>
      </x:c>
      <x:c r="C36" s="3" t="str">
        <x:v>绯云</x:v>
      </x:c>
      <x:c r="D36" s="3" t="str">
        <x:v>蹬墙、侧闪、滑铲与碰撞规则</x:v>
      </x:c>
      <x:c r="E36" s="3" t="str">
        <x:v>P0</x:v>
      </x:c>
      <x:c r="F36" s="3" t="n">
        <x:v>5</x:v>
      </x:c>
      <x:c r="G36" s="3" t="n">
        <x:v>7</x:v>
      </x:c>
      <x:c r="H36" s="3" t="n">
        <x:v>8</x:v>
      </x:c>
      <x:c r="I36" s="3" t="str">
        <x:v>P02,C03</x:v>
      </x:c>
      <x:c r="J36" s="3" t="str">
        <x:v>haski</x:v>
      </x:c>
      <x:c r="K36" s="3" t="str">
        <x:v>低障碍可通行，受击体与实体碰撞分离</x:v>
      </x:c>
      <x:c r="L36" s="8" t="str">
        <x:v>待确认</x:v>
      </x:c>
      <x:c r="M36" s="8"/>
      <x:c r="N36" s="9" t="str">
        <x:f>IF('概览设置'!$B$4="","",'概览设置'!$B$4+G36-1)</x:f>
      </x:c>
      <x:c r="O36" s="6" t="str">
        <x:f>IF(OR(L36="已完成",L36="已取消"),"已关闭",IF(L36="待批准","未纳入",IF(G36&lt;'概览设置'!$B$5,"已逾期",IF(G36='概览设置'!$B$5,"今日到期","未到期"))))</x:f>
        <x:v>未到期</x:v>
      </x:c>
      <x:c r="P36" s="8" t="str"/>
      <x:c r="Q36" s="8" t="str"/>
    </x:row>
    <x:row r="37" ht="64" customHeight="1">
      <x:c r="A37" s="3" t="str">
        <x:v>P04</x:v>
      </x:c>
      <x:c r="B37" s="3" t="str">
        <x:v>程序</x:v>
      </x:c>
      <x:c r="C37" s="3" t="str">
        <x:v>绯云</x:v>
      </x:c>
      <x:c r="D37" s="3" t="str">
        <x:v>集成审查、RC与最终构建</x:v>
      </x:c>
      <x:c r="E37" s="3" t="str">
        <x:v>P0</x:v>
      </x:c>
      <x:c r="F37" s="3" t="n">
        <x:v>8</x:v>
      </x:c>
      <x:c r="G37" s="3" t="n">
        <x:v>20</x:v>
      </x:c>
      <x:c r="H37" s="3" t="n">
        <x:v>10</x:v>
      </x:c>
      <x:c r="I37" s="3" t="str">
        <x:v>P03</x:v>
      </x:c>
      <x:c r="J37" s="3" t="str">
        <x:v>队长</x:v>
      </x:c>
      <x:c r="K37" s="3" t="str">
        <x:v>D16 RC1、D19最终包、D20配合实际交付</x:v>
      </x:c>
      <x:c r="L37" s="8" t="str">
        <x:v>待确认</x:v>
      </x:c>
      <x:c r="M37" s="8"/>
      <x:c r="N37" s="9" t="str">
        <x:f>IF('概览设置'!$B$4="","",'概览设置'!$B$4+G37-1)</x:f>
      </x:c>
      <x:c r="O37" s="6" t="str">
        <x:f>IF(OR(L37="已完成",L37="已取消"),"已关闭",IF(L37="待批准","未纳入",IF(G37&lt;'概览设置'!$B$5,"已逾期",IF(G37='概览设置'!$B$5,"今日到期","未到期"))))</x:f>
        <x:v>未到期</x:v>
      </x:c>
      <x:c r="P37" s="8" t="str"/>
      <x:c r="Q37" s="8" t="str"/>
    </x:row>
    <x:row r="38" ht="64" customHeight="1">
      <x:c r="A38" s="3" t="str">
        <x:v>P05</x:v>
      </x:c>
      <x:c r="B38" s="3" t="str">
        <x:v>程序</x:v>
      </x:c>
      <x:c r="C38" s="3" t="str">
        <x:v>Y.sir</x:v>
      </x:c>
      <x:c r="D38" s="3" t="str">
        <x:v>普通/高速攻击与受击接口</x:v>
      </x:c>
      <x:c r="E38" s="3" t="str">
        <x:v>P0</x:v>
      </x:c>
      <x:c r="F38" s="3" t="n">
        <x:v>2</x:v>
      </x:c>
      <x:c r="G38" s="3" t="n">
        <x:v>6</x:v>
      </x:c>
      <x:c r="H38" s="3" t="n">
        <x:v>16</x:v>
      </x:c>
      <x:c r="I38" s="3" t="str">
        <x:v>C02,P01</x:v>
      </x:c>
      <x:c r="J38" s="3" t="str">
        <x:v>haski</x:v>
      </x:c>
      <x:c r="K38" s="3" t="str">
        <x:v>同一挥击不重复伤害，同步速度/动量规则</x:v>
      </x:c>
      <x:c r="L38" s="8" t="str">
        <x:v>待确认</x:v>
      </x:c>
      <x:c r="M38" s="8"/>
      <x:c r="N38" s="9" t="str">
        <x:f>IF('概览设置'!$B$4="","",'概览设置'!$B$4+G38-1)</x:f>
      </x:c>
      <x:c r="O38" s="6" t="str">
        <x:f>IF(OR(L38="已完成",L38="已取消"),"已关闭",IF(L38="待批准","未纳入",IF(G38&lt;'概览设置'!$B$5,"已逾期",IF(G38='概览设置'!$B$5,"今日到期","未到期"))))</x:f>
        <x:v>未到期</x:v>
      </x:c>
      <x:c r="P38" s="8" t="str"/>
      <x:c r="Q38" s="8" t="str"/>
    </x:row>
    <x:row r="39" ht="64" customHeight="1">
      <x:c r="A39" s="3" t="str">
        <x:v>P06</x:v>
      </x:c>
      <x:c r="B39" s="3" t="str">
        <x:v>程序</x:v>
      </x:c>
      <x:c r="C39" s="3" t="str">
        <x:v>Y.sir</x:v>
      </x:c>
      <x:c r="D39" s="3" t="str">
        <x:v>parry、闪斩、死亡失碰撞与回血</x:v>
      </x:c>
      <x:c r="E39" s="3" t="str">
        <x:v>P0</x:v>
      </x:c>
      <x:c r="F39" s="3" t="n">
        <x:v>7</x:v>
      </x:c>
      <x:c r="G39" s="3" t="n">
        <x:v>9</x:v>
      </x:c>
      <x:c r="H39" s="3" t="n">
        <x:v>12</x:v>
      </x:c>
      <x:c r="I39" s="3" t="str">
        <x:v>P05,P09</x:v>
      </x:c>
      <x:c r="J39" s="3" t="str">
        <x:v>haski</x:v>
      </x:c>
      <x:c r="K39" s="3" t="str">
        <x:v>无敌窗口与近战时缓正确，击杀只结算一次</x:v>
      </x:c>
      <x:c r="L39" s="8" t="str">
        <x:v>待确认</x:v>
      </x:c>
      <x:c r="M39" s="8"/>
      <x:c r="N39" s="9" t="str">
        <x:f>IF('概览设置'!$B$4="","",'概览设置'!$B$4+G39-1)</x:f>
      </x:c>
      <x:c r="O39" s="6" t="str">
        <x:f>IF(OR(L39="已完成",L39="已取消"),"已关闭",IF(L39="待批准","未纳入",IF(G39&lt;'概览设置'!$B$5,"已逾期",IF(G39='概览设置'!$B$5,"今日到期","未到期"))))</x:f>
        <x:v>未到期</x:v>
      </x:c>
      <x:c r="P39" s="8" t="str"/>
      <x:c r="Q39" s="8" t="str"/>
    </x:row>
    <x:row r="40" ht="64" customHeight="1">
      <x:c r="A40" s="3" t="str">
        <x:v>P07</x:v>
      </x:c>
      <x:c r="B40" s="3" t="str">
        <x:v>程序</x:v>
      </x:c>
      <x:c r="C40" s="3" t="str">
        <x:v>Y.sir</x:v>
      </x:c>
      <x:c r="D40" s="3" t="str">
        <x:v>战斗联调与缺陷修复</x:v>
      </x:c>
      <x:c r="E40" s="3" t="str">
        <x:v>P0</x:v>
      </x:c>
      <x:c r="F40" s="3" t="n">
        <x:v>10</x:v>
      </x:c>
      <x:c r="G40" s="3" t="n">
        <x:v>19</x:v>
      </x:c>
      <x:c r="H40" s="3" t="n">
        <x:v>12</x:v>
      </x:c>
      <x:c r="I40" s="3" t="str">
        <x:v>P06</x:v>
      </x:c>
      <x:c r="J40" s="3" t="str">
        <x:v>haski</x:v>
      </x:c>
      <x:c r="K40" s="3" t="str">
        <x:v>连续战斗、受击、击杀和重开回归通过</x:v>
      </x:c>
      <x:c r="L40" s="8" t="str">
        <x:v>待确认</x:v>
      </x:c>
      <x:c r="M40" s="8"/>
      <x:c r="N40" s="9" t="str">
        <x:f>IF('概览设置'!$B$4="","",'概览设置'!$B$4+G40-1)</x:f>
      </x:c>
      <x:c r="O40" s="6" t="str">
        <x:f>IF(OR(L40="已完成",L40="已取消"),"已关闭",IF(L40="待批准","未纳入",IF(G40&lt;'概览设置'!$B$5,"已逾期",IF(G40='概览设置'!$B$5,"今日到期","未到期"))))</x:f>
        <x:v>未到期</x:v>
      </x:c>
      <x:c r="P40" s="8" t="str"/>
      <x:c r="Q40" s="8" t="str"/>
    </x:row>
    <x:row r="41" ht="64" customHeight="1">
      <x:c r="A41" s="3" t="str">
        <x:v>P08</x:v>
      </x:c>
      <x:c r="B41" s="3" t="str">
        <x:v>程序</x:v>
      </x:c>
      <x:c r="C41" s="3" t="str">
        <x:v>祁海超</x:v>
      </x:c>
      <x:c r="D41" s="3" t="str">
        <x:v>能量与右键加速</x:v>
      </x:c>
      <x:c r="E41" s="3" t="str">
        <x:v>P0</x:v>
      </x:c>
      <x:c r="F41" s="3" t="n">
        <x:v>3</x:v>
      </x:c>
      <x:c r="G41" s="3" t="n">
        <x:v>7</x:v>
      </x:c>
      <x:c r="H41" s="3" t="n">
        <x:v>10</x:v>
      </x:c>
      <x:c r="I41" s="3" t="str">
        <x:v>C06,P01</x:v>
      </x:c>
      <x:c r="J41" s="3" t="str">
        <x:v>KinoChain</x:v>
      </x:c>
      <x:c r="K41" s="3" t="str">
        <x:v>能量帧率无关，上下限和消耗准确</x:v>
      </x:c>
      <x:c r="L41" s="8" t="str">
        <x:v>待确认</x:v>
      </x:c>
      <x:c r="M41" s="8"/>
      <x:c r="N41" s="9" t="str">
        <x:f>IF('概览设置'!$B$4="","",'概览设置'!$B$4+G41-1)</x:f>
      </x:c>
      <x:c r="O41" s="6" t="str">
        <x:f>IF(OR(L41="已完成",L41="已取消"),"已关闭",IF(L41="待批准","未纳入",IF(G41&lt;'概览设置'!$B$5,"已逾期",IF(G41='概览设置'!$B$5,"今日到期","未到期"))))</x:f>
        <x:v>未到期</x:v>
      </x:c>
      <x:c r="P41" s="8" t="str"/>
      <x:c r="Q41" s="8" t="str"/>
    </x:row>
    <x:row r="42" ht="64" customHeight="1">
      <x:c r="A42" s="3" t="str">
        <x:v>P09</x:v>
      </x:c>
      <x:c r="B42" s="3" t="str">
        <x:v>程序</x:v>
      </x:c>
      <x:c r="C42" s="3" t="str">
        <x:v>祁海超</x:v>
      </x:c>
      <x:c r="D42" s="3" t="str">
        <x:v>parry时缓与暂停统一入口</x:v>
      </x:c>
      <x:c r="E42" s="3" t="str">
        <x:v>P0</x:v>
      </x:c>
      <x:c r="F42" s="3" t="n">
        <x:v>3</x:v>
      </x:c>
      <x:c r="G42" s="3" t="n">
        <x:v>7</x:v>
      </x:c>
      <x:c r="H42" s="3" t="n">
        <x:v>4</x:v>
      </x:c>
      <x:c r="I42" s="3" t="str">
        <x:v>C02,P01</x:v>
      </x:c>
      <x:c r="J42" s="3" t="str">
        <x:v>haski</x:v>
      </x:c>
      <x:c r="K42" s="3" t="str">
        <x:v>时间倍率不相互覆盖，暂停/重开可恢复</x:v>
      </x:c>
      <x:c r="L42" s="8" t="str">
        <x:v>待确认</x:v>
      </x:c>
      <x:c r="M42" s="8"/>
      <x:c r="N42" s="9" t="str">
        <x:f>IF('概览设置'!$B$4="","",'概览设置'!$B$4+G42-1)</x:f>
      </x:c>
      <x:c r="O42" s="6" t="str">
        <x:f>IF(OR(L42="已完成",L42="已取消"),"已关闭",IF(L42="待批准","未纳入",IF(G42&lt;'概览设置'!$B$5,"已逾期",IF(G42='概览设置'!$B$5,"今日到期","未到期"))))</x:f>
        <x:v>未到期</x:v>
      </x:c>
      <x:c r="P42" s="8" t="str"/>
      <x:c r="Q42" s="8" t="str"/>
    </x:row>
    <x:row r="43" ht="64" customHeight="1">
      <x:c r="A43" s="3" t="str">
        <x:v>P10</x:v>
      </x:c>
      <x:c r="B43" s="3" t="str">
        <x:v>程序</x:v>
      </x:c>
      <x:c r="C43" s="3" t="str">
        <x:v>祁海超</x:v>
      </x:c>
      <x:c r="D43" s="3" t="str">
        <x:v>能量与时间状态联调</x:v>
      </x:c>
      <x:c r="E43" s="3" t="str">
        <x:v>P0</x:v>
      </x:c>
      <x:c r="F43" s="3" t="n">
        <x:v>8</x:v>
      </x:c>
      <x:c r="G43" s="3" t="n">
        <x:v>18</x:v>
      </x:c>
      <x:c r="H43" s="3" t="n">
        <x:v>6</x:v>
      </x:c>
      <x:c r="I43" s="3" t="str">
        <x:v>P08,P09</x:v>
      </x:c>
      <x:c r="J43" s="3" t="str">
        <x:v>S.Y.A</x:v>
      </x:c>
      <x:c r="K43" s="3" t="str">
        <x:v>耗尽、死亡、暂停与重开边界验证通过</x:v>
      </x:c>
      <x:c r="L43" s="8" t="str">
        <x:v>待确认</x:v>
      </x:c>
      <x:c r="M43" s="8"/>
      <x:c r="N43" s="9" t="str">
        <x:f>IF('概览设置'!$B$4="","",'概览设置'!$B$4+G43-1)</x:f>
      </x:c>
      <x:c r="O43" s="6" t="str">
        <x:f>IF(OR(L43="已完成",L43="已取消"),"已关闭",IF(L43="待批准","未纳入",IF(G43&lt;'概览设置'!$B$5,"已逾期",IF(G43='概览设置'!$B$5,"今日到期","未到期"))))</x:f>
        <x:v>未到期</x:v>
      </x:c>
      <x:c r="P43" s="8" t="str"/>
      <x:c r="Q43" s="8" t="str"/>
    </x:row>
    <x:row r="44" ht="64" customHeight="1">
      <x:c r="A44" s="3" t="str">
        <x:v>P11</x:v>
      </x:c>
      <x:c r="B44" s="3" t="str">
        <x:v>程序</x:v>
      </x:c>
      <x:c r="C44" s="3" t="str">
        <x:v>炸虾</x:v>
      </x:c>
      <x:c r="D44" s="3" t="str">
        <x:v>近战机器人基础AI</x:v>
      </x:c>
      <x:c r="E44" s="3" t="str">
        <x:v>P0</x:v>
      </x:c>
      <x:c r="F44" s="3" t="n">
        <x:v>3</x:v>
      </x:c>
      <x:c r="G44" s="3" t="n">
        <x:v>7</x:v>
      </x:c>
      <x:c r="H44" s="3" t="n">
        <x:v>12</x:v>
      </x:c>
      <x:c r="I44" s="3" t="str">
        <x:v>C05,P01</x:v>
      </x:c>
      <x:c r="J44" s="3" t="str">
        <x:v>君</x:v>
      </x:c>
      <x:c r="K44" s="3" t="str">
        <x:v>预警清晰、不隔墙攻击、死亡停止寻路</x:v>
      </x:c>
      <x:c r="L44" s="8" t="str">
        <x:v>待确认</x:v>
      </x:c>
      <x:c r="M44" s="8"/>
      <x:c r="N44" s="9" t="str">
        <x:f>IF('概览设置'!$B$4="","",'概览设置'!$B$4+G44-1)</x:f>
      </x:c>
      <x:c r="O44" s="6" t="str">
        <x:f>IF(OR(L44="已完成",L44="已取消"),"已关闭",IF(L44="待批准","未纳入",IF(G44&lt;'概览设置'!$B$5,"已逾期",IF(G44='概览设置'!$B$5,"今日到期","未到期"))))</x:f>
        <x:v>未到期</x:v>
      </x:c>
      <x:c r="P44" s="8" t="str"/>
      <x:c r="Q44" s="8" t="str"/>
    </x:row>
    <x:row r="45" ht="64" customHeight="1">
      <x:c r="A45" s="3" t="str">
        <x:v>P12</x:v>
      </x:c>
      <x:c r="B45" s="3" t="str">
        <x:v>程序</x:v>
      </x:c>
      <x:c r="C45" s="3" t="str">
        <x:v>炸虾</x:v>
      </x:c>
      <x:c r="D45" s="3" t="str">
        <x:v>敌人联调与回归</x:v>
      </x:c>
      <x:c r="E45" s="3" t="str">
        <x:v>P0</x:v>
      </x:c>
      <x:c r="F45" s="3" t="n">
        <x:v>8</x:v>
      </x:c>
      <x:c r="G45" s="3" t="n">
        <x:v>18</x:v>
      </x:c>
      <x:c r="H45" s="3" t="n">
        <x:v>3</x:v>
      </x:c>
      <x:c r="I45" s="3" t="str">
        <x:v>P11</x:v>
      </x:c>
      <x:c r="J45" s="3" t="str">
        <x:v>君</x:v>
      </x:c>
      <x:c r="K45" s="3" t="str">
        <x:v>攻击中断、死亡和房间复位正常</x:v>
      </x:c>
      <x:c r="L45" s="8" t="str">
        <x:v>待确认</x:v>
      </x:c>
      <x:c r="M45" s="8"/>
      <x:c r="N45" s="9" t="str">
        <x:f>IF('概览设置'!$B$4="","",'概览设置'!$B$4+G45-1)</x:f>
      </x:c>
      <x:c r="O45" s="6" t="str">
        <x:f>IF(OR(L45="已完成",L45="已取消"),"已关闭",IF(L45="待批准","未纳入",IF(G45&lt;'概览设置'!$B$5,"已逾期",IF(G45='概览设置'!$B$5,"今日到期","未到期"))))</x:f>
        <x:v>未到期</x:v>
      </x:c>
      <x:c r="P45" s="8" t="str"/>
      <x:c r="Q45" s="8" t="str"/>
    </x:row>
    <x:row r="46" ht="64" customHeight="1">
      <x:c r="A46" s="3" t="str">
        <x:v>P13</x:v>
      </x:c>
      <x:c r="B46" s="3" t="str">
        <x:v>程序</x:v>
      </x:c>
      <x:c r="C46" s="3" t="str">
        <x:v>leo</x:v>
      </x:c>
      <x:c r="D46" s="3" t="str">
        <x:v>房间流程、波次、门和检查点</x:v>
      </x:c>
      <x:c r="E46" s="3" t="str">
        <x:v>P0</x:v>
      </x:c>
      <x:c r="F46" s="3" t="n">
        <x:v>3</x:v>
      </x:c>
      <x:c r="G46" s="3" t="n">
        <x:v>8</x:v>
      </x:c>
      <x:c r="H46" s="3" t="n">
        <x:v>22</x:v>
      </x:c>
      <x:c r="I46" s="3" t="str">
        <x:v>C03,P01</x:v>
      </x:c>
      <x:c r="J46" s="3" t="str">
        <x:v>qwq</x:v>
      </x:c>
      <x:c r="K46" s="3" t="str">
        <x:v>固定路线可贯通，掉落能快速安全复位</x:v>
      </x:c>
      <x:c r="L46" s="8" t="str">
        <x:v>待确认</x:v>
      </x:c>
      <x:c r="M46" s="8"/>
      <x:c r="N46" s="9" t="str">
        <x:f>IF('概览设置'!$B$4="","",'概览设置'!$B$4+G46-1)</x:f>
      </x:c>
      <x:c r="O46" s="6" t="str">
        <x:f>IF(OR(L46="已完成",L46="已取消"),"已关闭",IF(L46="待批准","未纳入",IF(G46&lt;'概览设置'!$B$5,"已逾期",IF(G46='概览设置'!$B$5,"今日到期","未到期"))))</x:f>
        <x:v>未到期</x:v>
      </x:c>
      <x:c r="P46" s="8" t="str"/>
      <x:c r="Q46" s="8" t="str"/>
    </x:row>
    <x:row r="47" ht="64" customHeight="1">
      <x:c r="A47" s="3" t="str">
        <x:v>P14</x:v>
      </x:c>
      <x:c r="B47" s="3" t="str">
        <x:v>程序</x:v>
      </x:c>
      <x:c r="C47" s="3" t="str">
        <x:v>leo</x:v>
      </x:c>
      <x:c r="D47" s="3" t="str">
        <x:v>关卡接入、胜负与重开状态</x:v>
      </x:c>
      <x:c r="E47" s="3" t="str">
        <x:v>P0</x:v>
      </x:c>
      <x:c r="F47" s="3" t="n">
        <x:v>8</x:v>
      </x:c>
      <x:c r="G47" s="3" t="n">
        <x:v>10</x:v>
      </x:c>
      <x:c r="H47" s="3" t="n">
        <x:v>8</x:v>
      </x:c>
      <x:c r="I47" s="3" t="str">
        <x:v>P13,C11</x:v>
      </x:c>
      <x:c r="J47" s="3" t="str">
        <x:v>KinoChain</x:v>
      </x:c>
      <x:c r="K47" s="3" t="str">
        <x:v>可开始、通关、死亡、重开且无残留状态</x:v>
      </x:c>
      <x:c r="L47" s="8" t="str">
        <x:v>待确认</x:v>
      </x:c>
      <x:c r="M47" s="8"/>
      <x:c r="N47" s="9" t="str">
        <x:f>IF('概览设置'!$B$4="","",'概览设置'!$B$4+G47-1)</x:f>
      </x:c>
      <x:c r="O47" s="6" t="str">
        <x:f>IF(OR(L47="已完成",L47="已取消"),"已关闭",IF(L47="待批准","未纳入",IF(G47&lt;'概览设置'!$B$5,"已逾期",IF(G47='概览设置'!$B$5,"今日到期","未到期"))))</x:f>
        <x:v>未到期</x:v>
      </x:c>
      <x:c r="P47" s="8" t="str"/>
      <x:c r="Q47" s="8" t="str"/>
    </x:row>
    <x:row r="48" ht="64" customHeight="1">
      <x:c r="A48" s="3" t="str">
        <x:v>P15</x:v>
      </x:c>
      <x:c r="B48" s="3" t="str">
        <x:v>程序</x:v>
      </x:c>
      <x:c r="C48" s="3" t="str">
        <x:v>leo</x:v>
      </x:c>
      <x:c r="D48" s="3" t="str">
        <x:v>流程回归与软锁修复</x:v>
      </x:c>
      <x:c r="E48" s="3" t="str">
        <x:v>P0</x:v>
      </x:c>
      <x:c r="F48" s="3" t="n">
        <x:v>11</x:v>
      </x:c>
      <x:c r="G48" s="3" t="n">
        <x:v>19</x:v>
      </x:c>
      <x:c r="H48" s="3" t="n">
        <x:v>6</x:v>
      </x:c>
      <x:c r="I48" s="3" t="str">
        <x:v>P14</x:v>
      </x:c>
      <x:c r="J48" s="3" t="str">
        <x:v>qwq</x:v>
      </x:c>
      <x:c r="K48" s="3" t="str">
        <x:v>完整通关与重复重开稳定</x:v>
      </x:c>
      <x:c r="L48" s="8" t="str">
        <x:v>待确认</x:v>
      </x:c>
      <x:c r="M48" s="8"/>
      <x:c r="N48" s="9" t="str">
        <x:f>IF('概览设置'!$B$4="","",'概览设置'!$B$4+G48-1)</x:f>
      </x:c>
      <x:c r="O48" s="6" t="str">
        <x:f>IF(OR(L48="已完成",L48="已取消"),"已关闭",IF(L48="待批准","未纳入",IF(G48&lt;'概览设置'!$B$5,"已逾期",IF(G48='概览设置'!$B$5,"今日到期","未到期"))))</x:f>
        <x:v>未到期</x:v>
      </x:c>
      <x:c r="P48" s="8" t="str"/>
      <x:c r="Q48" s="8" t="str"/>
    </x:row>
    <x:row r="49" ht="64" customHeight="1">
      <x:c r="A49" s="3" t="str">
        <x:v>P16</x:v>
      </x:c>
      <x:c r="B49" s="3" t="str">
        <x:v>程序</x:v>
      </x:c>
      <x:c r="C49" s="3" t="str">
        <x:v>1382263</x:v>
      </x:c>
      <x:c r="D49" s="3" t="str">
        <x:v>HUD、菜单与教程接入</x:v>
      </x:c>
      <x:c r="E49" s="3" t="str">
        <x:v>P0</x:v>
      </x:c>
      <x:c r="F49" s="3" t="n">
        <x:v>3</x:v>
      </x:c>
      <x:c r="G49" s="3" t="n">
        <x:v>10</x:v>
      </x:c>
      <x:c r="H49" s="3" t="n">
        <x:v>18</x:v>
      </x:c>
      <x:c r="I49" s="3" t="str">
        <x:v>C04,P01</x:v>
      </x:c>
      <x:c r="J49" s="3" t="str">
        <x:v>林晓风</x:v>
      </x:c>
      <x:c r="K49" s="3" t="str">
        <x:v>显示血量/速度/能量，暂停与结果页可操作</x:v>
      </x:c>
      <x:c r="L49" s="8" t="str">
        <x:v>待确认</x:v>
      </x:c>
      <x:c r="M49" s="8"/>
      <x:c r="N49" s="9" t="str">
        <x:f>IF('概览设置'!$B$4="","",'概览设置'!$B$4+G49-1)</x:f>
      </x:c>
      <x:c r="O49" s="6" t="str">
        <x:f>IF(OR(L49="已完成",L49="已取消"),"已关闭",IF(L49="待批准","未纳入",IF(G49&lt;'概览设置'!$B$5,"已逾期",IF(G49='概览设置'!$B$5,"今日到期","未到期"))))</x:f>
        <x:v>未到期</x:v>
      </x:c>
      <x:c r="P49" s="8" t="str"/>
      <x:c r="Q49" s="8" t="str"/>
    </x:row>
    <x:row r="50" ht="64" customHeight="1">
      <x:c r="A50" s="3" t="str">
        <x:v>P17</x:v>
      </x:c>
      <x:c r="B50" s="3" t="str">
        <x:v>程序</x:v>
      </x:c>
      <x:c r="C50" s="3" t="str">
        <x:v>1382263</x:v>
      </x:c>
      <x:c r="D50" s="3" t="str">
        <x:v>基础音量与灵敏度设置</x:v>
      </x:c>
      <x:c r="E50" s="3" t="str">
        <x:v>P0</x:v>
      </x:c>
      <x:c r="F50" s="3" t="n">
        <x:v>10</x:v>
      </x:c>
      <x:c r="G50" s="3" t="n">
        <x:v>12</x:v>
      </x:c>
      <x:c r="H50" s="3" t="n">
        <x:v>4</x:v>
      </x:c>
      <x:c r="I50" s="3" t="str">
        <x:v>P16</x:v>
      </x:c>
      <x:c r="J50" s="3" t="str">
        <x:v>林晓风</x:v>
      </x:c>
      <x:c r="K50" s="3" t="str">
        <x:v>设置即时生效且与状态一致</x:v>
      </x:c>
      <x:c r="L50" s="8" t="str">
        <x:v>待确认</x:v>
      </x:c>
      <x:c r="M50" s="8"/>
      <x:c r="N50" s="9" t="str">
        <x:f>IF('概览设置'!$B$4="","",'概览设置'!$B$4+G50-1)</x:f>
      </x:c>
      <x:c r="O50" s="6" t="str">
        <x:f>IF(OR(L50="已完成",L50="已取消"),"已关闭",IF(L50="待批准","未纳入",IF(G50&lt;'概览设置'!$B$5,"已逾期",IF(G50='概览设置'!$B$5,"今日到期","未到期"))))</x:f>
        <x:v>未到期</x:v>
      </x:c>
      <x:c r="P50" s="8" t="str"/>
      <x:c r="Q50" s="8" t="str"/>
    </x:row>
    <x:row r="51" ht="64" customHeight="1">
      <x:c r="A51" s="3" t="str">
        <x:v>P18</x:v>
      </x:c>
      <x:c r="B51" s="3" t="str">
        <x:v>程序</x:v>
      </x:c>
      <x:c r="C51" s="3" t="str">
        <x:v>1382263</x:v>
      </x:c>
      <x:c r="D51" s="3" t="str">
        <x:v>UI全流程回归修复</x:v>
      </x:c>
      <x:c r="E51" s="3" t="str">
        <x:v>P0</x:v>
      </x:c>
      <x:c r="F51" s="3" t="n">
        <x:v>11</x:v>
      </x:c>
      <x:c r="G51" s="3" t="n">
        <x:v>19</x:v>
      </x:c>
      <x:c r="H51" s="3" t="n">
        <x:v>8</x:v>
      </x:c>
      <x:c r="I51" s="3" t="str">
        <x:v>P16</x:v>
      </x:c>
      <x:c r="J51" s="3" t="str">
        <x:v>林晓风</x:v>
      </x:c>
      <x:c r="K51" s="3" t="str">
        <x:v>分辨率/提示/重开验证通过</x:v>
      </x:c>
      <x:c r="L51" s="8" t="str">
        <x:v>待确认</x:v>
      </x:c>
      <x:c r="M51" s="8"/>
      <x:c r="N51" s="9" t="str">
        <x:f>IF('概览设置'!$B$4="","",'概览设置'!$B$4+G51-1)</x:f>
      </x:c>
      <x:c r="O51" s="6" t="str">
        <x:f>IF(OR(L51="已完成",L51="已取消"),"已关闭",IF(L51="待批准","未纳入",IF(G51&lt;'概览设置'!$B$5,"已逾期",IF(G51='概览设置'!$B$5,"今日到期","未到期"))))</x:f>
        <x:v>未到期</x:v>
      </x:c>
      <x:c r="P51" s="8" t="str"/>
      <x:c r="Q51" s="8" t="str"/>
    </x:row>
    <x:row r="52" ht="64" customHeight="1">
      <x:c r="A52" s="3" t="str">
        <x:v>P19</x:v>
      </x:c>
      <x:c r="B52" s="3" t="str">
        <x:v>程序</x:v>
      </x:c>
      <x:c r="C52" s="3" t="str">
        <x:v>炡凧</x:v>
      </x:c>
      <x:c r="D52" s="3" t="str">
        <x:v>音频资源与授权核对</x:v>
      </x:c>
      <x:c r="E52" s="3" t="str">
        <x:v>P0</x:v>
      </x:c>
      <x:c r="F52" s="3" t="n">
        <x:v>1</x:v>
      </x:c>
      <x:c r="G52" s="3" t="n">
        <x:v>8</x:v>
      </x:c>
      <x:c r="H52" s="3" t="n">
        <x:v>10</x:v>
      </x:c>
      <x:c r="I52" s="3" t="str">
        <x:v>无</x:v>
      </x:c>
      <x:c r="J52" s="3" t="str">
        <x:v>KinoChain</x:v>
      </x:c>
      <x:c r="K52" s="3" t="str">
        <x:v>确认音频职责，核心资源授权可追溯</x:v>
      </x:c>
      <x:c r="L52" s="8" t="str">
        <x:v>待确认</x:v>
      </x:c>
      <x:c r="M52" s="8"/>
      <x:c r="N52" s="9" t="str">
        <x:f>IF('概览设置'!$B$4="","",'概览设置'!$B$4+G52-1)</x:f>
      </x:c>
      <x:c r="O52" s="6" t="str">
        <x:f>IF(OR(L52="已完成",L52="已取消"),"已关闭",IF(L52="待批准","未纳入",IF(G52&lt;'概览设置'!$B$5,"已逾期",IF(G52='概览设置'!$B$5,"今日到期","未到期"))))</x:f>
        <x:v>未到期</x:v>
      </x:c>
      <x:c r="P52" s="8" t="str"/>
      <x:c r="Q52" s="8" t="str"/>
    </x:row>
    <x:row r="53" ht="64" customHeight="1">
      <x:c r="A53" s="3" t="str">
        <x:v>P20</x:v>
      </x:c>
      <x:c r="B53" s="3" t="str">
        <x:v>程序</x:v>
      </x:c>
      <x:c r="C53" s="3" t="str">
        <x:v>炡凧</x:v>
      </x:c>
      <x:c r="D53" s="3" t="str">
        <x:v>音频事件与战斗反馈接入</x:v>
      </x:c>
      <x:c r="E53" s="3" t="str">
        <x:v>P0</x:v>
      </x:c>
      <x:c r="F53" s="3" t="n">
        <x:v>8</x:v>
      </x:c>
      <x:c r="G53" s="3" t="n">
        <x:v>12</x:v>
      </x:c>
      <x:c r="H53" s="3" t="n">
        <x:v>12</x:v>
      </x:c>
      <x:c r="I53" s="3" t="str">
        <x:v>P01,P19</x:v>
      </x:c>
      <x:c r="J53" s="3" t="str">
        <x:v>haski</x:v>
      </x:c>
      <x:c r="K53" s="3" t="str">
        <x:v>关键事件有反馈，暂停行为一致</x:v>
      </x:c>
      <x:c r="L53" s="8" t="str">
        <x:v>待确认</x:v>
      </x:c>
      <x:c r="M53" s="8"/>
      <x:c r="N53" s="9" t="str">
        <x:f>IF('概览设置'!$B$4="","",'概览设置'!$B$4+G53-1)</x:f>
      </x:c>
      <x:c r="O53" s="6" t="str">
        <x:f>IF(OR(L53="已完成",L53="已取消"),"已关闭",IF(L53="待批准","未纳入",IF(G53&lt;'概览设置'!$B$5,"已逾期",IF(G53='概览设置'!$B$5,"今日到期","未到期"))))</x:f>
        <x:v>未到期</x:v>
      </x:c>
      <x:c r="P53" s="8" t="str"/>
      <x:c r="Q53" s="8" t="str"/>
    </x:row>
    <x:row r="54" ht="64" customHeight="1">
      <x:c r="A54" s="3" t="str">
        <x:v>P21</x:v>
      </x:c>
      <x:c r="B54" s="3" t="str">
        <x:v>程序</x:v>
      </x:c>
      <x:c r="C54" s="3" t="str">
        <x:v>炡凧</x:v>
      </x:c>
      <x:c r="D54" s="3" t="str">
        <x:v>混音、资源冻结与终版验证</x:v>
      </x:c>
      <x:c r="E54" s="3" t="str">
        <x:v>P0</x:v>
      </x:c>
      <x:c r="F54" s="3" t="n">
        <x:v>12</x:v>
      </x:c>
      <x:c r="G54" s="3" t="n">
        <x:v>18</x:v>
      </x:c>
      <x:c r="H54" s="3" t="n">
        <x:v>8</x:v>
      </x:c>
      <x:c r="I54" s="3" t="str">
        <x:v>P20</x:v>
      </x:c>
      <x:c r="J54" s="3" t="str">
        <x:v>队长</x:v>
      </x:c>
      <x:c r="K54" s="3" t="str">
        <x:v>无爆音、重复播放或缺失核心反馈</x:v>
      </x:c>
      <x:c r="L54" s="8" t="str">
        <x:v>待确认</x:v>
      </x:c>
      <x:c r="M54" s="8"/>
      <x:c r="N54" s="9" t="str">
        <x:f>IF('概览设置'!$B$4="","",'概览设置'!$B$4+G54-1)</x:f>
      </x:c>
      <x:c r="O54" s="6" t="str">
        <x:f>IF(OR(L54="已完成",L54="已取消"),"已关闭",IF(L54="待批准","未纳入",IF(G54&lt;'概览设置'!$B$5,"已逾期",IF(G54='概览设置'!$B$5,"今日到期","未到期"))))</x:f>
        <x:v>未到期</x:v>
      </x:c>
      <x:c r="P54" s="8" t="str"/>
      <x:c r="Q54" s="8" t="str"/>
    </x:row>
    <x:row r="55" ht="64" customHeight="1">
      <x:c r="A55" s="3" t="str">
        <x:v>A01</x:v>
      </x:c>
      <x:c r="B55" s="3" t="str">
        <x:v>美工</x:v>
      </x:c>
      <x:c r="C55" s="3" t="str">
        <x:v>派</x:v>
      </x:c>
      <x:c r="D55" s="3" t="str">
        <x:v>风格规范、骨骼与授权小样</x:v>
      </x:c>
      <x:c r="E55" s="3" t="str">
        <x:v>P0</x:v>
      </x:c>
      <x:c r="F55" s="3" t="n">
        <x:v>1</x:v>
      </x:c>
      <x:c r="G55" s="3" t="n">
        <x:v>2</x:v>
      </x:c>
      <x:c r="H55" s="3" t="n">
        <x:v>2</x:v>
      </x:c>
      <x:c r="I55" s="3" t="str">
        <x:v>无</x:v>
      </x:c>
      <x:c r="J55" s="3" t="str">
        <x:v>绯云</x:v>
      </x:c>
      <x:c r="K55" s="3" t="str">
        <x:v>比例/坐标/骨骼方案可导入，不成立立即简化</x:v>
      </x:c>
      <x:c r="L55" s="8" t="str">
        <x:v>待确认</x:v>
      </x:c>
      <x:c r="M55" s="8"/>
      <x:c r="N55" s="9" t="str">
        <x:f>IF('概览设置'!$B$4="","",'概览设置'!$B$4+G55-1)</x:f>
      </x:c>
      <x:c r="O55" s="6" t="str">
        <x:f>IF(OR(L55="已完成",L55="已取消"),"已关闭",IF(L55="待批准","未纳入",IF(G55&lt;'概览设置'!$B$5,"已逾期",IF(G55='概览设置'!$B$5,"今日到期","未到期"))))</x:f>
        <x:v>未到期</x:v>
      </x:c>
      <x:c r="P55" s="8" t="str"/>
      <x:c r="Q55" s="8" t="str"/>
    </x:row>
    <x:row r="56" ht="64" customHeight="1">
      <x:c r="A56" s="3" t="str">
        <x:v>A02</x:v>
      </x:c>
      <x:c r="B56" s="3" t="str">
        <x:v>美工</x:v>
      </x:c>
      <x:c r="C56" s="3" t="str">
        <x:v>派</x:v>
      </x:c>
      <x:c r="D56" s="3" t="str">
        <x:v>墙地柱门等场景模块</x:v>
      </x:c>
      <x:c r="E56" s="3" t="str">
        <x:v>P0</x:v>
      </x:c>
      <x:c r="F56" s="3" t="n">
        <x:v>3</x:v>
      </x:c>
      <x:c r="G56" s="3" t="n">
        <x:v>6</x:v>
      </x:c>
      <x:c r="H56" s="3" t="n">
        <x:v>6</x:v>
      </x:c>
      <x:c r="I56" s="3" t="str">
        <x:v>A01,C03</x:v>
      </x:c>
      <x:c r="J56" s="3" t="str">
        <x:v>qwq</x:v>
      </x:c>
      <x:c r="K56" s="3" t="str">
        <x:v>模块尺寸正确，碰撞与视觉分离</x:v>
      </x:c>
      <x:c r="L56" s="8" t="str">
        <x:v>待确认</x:v>
      </x:c>
      <x:c r="M56" s="8"/>
      <x:c r="N56" s="9" t="str">
        <x:f>IF('概览设置'!$B$4="","",'概览设置'!$B$4+G56-1)</x:f>
      </x:c>
      <x:c r="O56" s="6" t="str">
        <x:f>IF(OR(L56="已完成",L56="已取消"),"已关闭",IF(L56="待批准","未纳入",IF(G56&lt;'概览设置'!$B$5,"已逾期",IF(G56='概览设置'!$B$5,"今日到期","未到期"))))</x:f>
        <x:v>未到期</x:v>
      </x:c>
      <x:c r="P56" s="8" t="str"/>
      <x:c r="Q56" s="8" t="str"/>
    </x:row>
    <x:row r="57" ht="64" customHeight="1">
      <x:c r="A57" s="3" t="str">
        <x:v>A03</x:v>
      </x:c>
      <x:c r="B57" s="3" t="str">
        <x:v>美工</x:v>
      </x:c>
      <x:c r="C57" s="3" t="str">
        <x:v>派</x:v>
      </x:c>
      <x:c r="D57" s="3" t="str">
        <x:v>玩家及共享机器人资产整合</x:v>
      </x:c>
      <x:c r="E57" s="3" t="str">
        <x:v>P0</x:v>
      </x:c>
      <x:c r="F57" s="3" t="n">
        <x:v>4</x:v>
      </x:c>
      <x:c r="G57" s="3" t="n">
        <x:v>10</x:v>
      </x:c>
      <x:c r="H57" s="3" t="n">
        <x:v>8</x:v>
      </x:c>
      <x:c r="I57" s="3" t="str">
        <x:v>A01</x:v>
      </x:c>
      <x:c r="J57" s="3" t="str">
        <x:v>绯云</x:v>
      </x:c>
      <x:c r="K57" s="3" t="str">
        <x:v>复用授权资产/简化表现，不从零制作完整动画组</x:v>
      </x:c>
      <x:c r="L57" s="8" t="str">
        <x:v>待确认</x:v>
      </x:c>
      <x:c r="M57" s="8"/>
      <x:c r="N57" s="9" t="str">
        <x:f>IF('概览设置'!$B$4="","",'概览设置'!$B$4+G57-1)</x:f>
      </x:c>
      <x:c r="O57" s="6" t="str">
        <x:f>IF(OR(L57="已完成",L57="已取消"),"已关闭",IF(L57="待批准","未纳入",IF(G57&lt;'概览设置'!$B$5,"已逾期",IF(G57='概览设置'!$B$5,"今日到期","未到期"))))</x:f>
        <x:v>未到期</x:v>
      </x:c>
      <x:c r="P57" s="8" t="str"/>
      <x:c r="Q57" s="8" t="str"/>
    </x:row>
    <x:row r="58" ht="64" customHeight="1">
      <x:c r="A58" s="3" t="str">
        <x:v>A04</x:v>
      </x:c>
      <x:c r="B58" s="3" t="str">
        <x:v>美工</x:v>
      </x:c>
      <x:c r="C58" s="3" t="str">
        <x:v>派</x:v>
      </x:c>
      <x:c r="D58" s="3" t="str">
        <x:v>导入修复与资源冻结</x:v>
      </x:c>
      <x:c r="E58" s="3" t="str">
        <x:v>P0</x:v>
      </x:c>
      <x:c r="F58" s="3" t="n">
        <x:v>11</x:v>
      </x:c>
      <x:c r="G58" s="3" t="n">
        <x:v>14</x:v>
      </x:c>
      <x:c r="H58" s="3" t="n">
        <x:v>4</x:v>
      </x:c>
      <x:c r="I58" s="3" t="str">
        <x:v>A02,A03</x:v>
      </x:c>
      <x:c r="J58" s="3" t="str">
        <x:v>绯云</x:v>
      </x:c>
      <x:c r="K58" s="3" t="str">
        <x:v>无丢材质、比例或基础动画问题</x:v>
      </x:c>
      <x:c r="L58" s="8" t="str">
        <x:v>待确认</x:v>
      </x:c>
      <x:c r="M58" s="8"/>
      <x:c r="N58" s="9" t="str">
        <x:f>IF('概览设置'!$B$4="","",'概览设置'!$B$4+G58-1)</x:f>
      </x:c>
      <x:c r="O58" s="6" t="str">
        <x:f>IF(OR(L58="已完成",L58="已取消"),"已关闭",IF(L58="待批准","未纳入",IF(G58&lt;'概览设置'!$B$5,"已逾期",IF(G58='概览设置'!$B$5,"今日到期","未到期"))))</x:f>
        <x:v>未到期</x:v>
      </x:c>
      <x:c r="P58" s="8" t="str"/>
      <x:c r="Q58" s="8" t="str"/>
    </x:row>
    <x:row r="59" ht="64" customHeight="1">
      <x:c r="A59" s="3" t="str">
        <x:v>A05</x:v>
      </x:c>
      <x:c r="B59" s="3" t="str">
        <x:v>美工</x:v>
      </x:c>
      <x:c r="C59" s="3" t="str">
        <x:v>豆橛子</x:v>
      </x:c>
      <x:c r="D59" s="3" t="str">
        <x:v>HUD线框与视觉规范</x:v>
      </x:c>
      <x:c r="E59" s="3" t="str">
        <x:v>P0</x:v>
      </x:c>
      <x:c r="F59" s="3" t="n">
        <x:v>2</x:v>
      </x:c>
      <x:c r="G59" s="3" t="n">
        <x:v>3</x:v>
      </x:c>
      <x:c r="H59" s="3" t="n">
        <x:v>3</x:v>
      </x:c>
      <x:c r="I59" s="3" t="str">
        <x:v>C04</x:v>
      </x:c>
      <x:c r="J59" s="3" t="str">
        <x:v>林晓风</x:v>
      </x:c>
      <x:c r="K59" s="3" t="str">
        <x:v>重要信息层级明确，确认切图规格</x:v>
      </x:c>
      <x:c r="L59" s="8" t="str">
        <x:v>待确认</x:v>
      </x:c>
      <x:c r="M59" s="8"/>
      <x:c r="N59" s="9" t="str">
        <x:f>IF('概览设置'!$B$4="","",'概览设置'!$B$4+G59-1)</x:f>
      </x:c>
      <x:c r="O59" s="6" t="str">
        <x:f>IF(OR(L59="已完成",L59="已取消"),"已关闭",IF(L59="待批准","未纳入",IF(G59&lt;'概览设置'!$B$5,"已逾期",IF(G59='概览设置'!$B$5,"今日到期","未到期"))))</x:f>
        <x:v>未到期</x:v>
      </x:c>
      <x:c r="P59" s="8" t="str"/>
      <x:c r="Q59" s="8" t="str"/>
    </x:row>
    <x:row r="60" ht="64" customHeight="1">
      <x:c r="A60" s="3" t="str">
        <x:v>A06</x:v>
      </x:c>
      <x:c r="B60" s="3" t="str">
        <x:v>美工</x:v>
      </x:c>
      <x:c r="C60" s="3" t="str">
        <x:v>豆橛子</x:v>
      </x:c>
      <x:c r="D60" s="3" t="str">
        <x:v>HUD及少量图标</x:v>
      </x:c>
      <x:c r="E60" s="3" t="str">
        <x:v>P0</x:v>
      </x:c>
      <x:c r="F60" s="3" t="n">
        <x:v>4</x:v>
      </x:c>
      <x:c r="G60" s="3" t="n">
        <x:v>8</x:v>
      </x:c>
      <x:c r="H60" s="3" t="n">
        <x:v>7</x:v>
      </x:c>
      <x:c r="I60" s="3" t="str">
        <x:v>A05</x:v>
      </x:c>
      <x:c r="J60" s="3" t="str">
        <x:v>1382263</x:v>
      </x:c>
      <x:c r="K60" s="3" t="str">
        <x:v>血量/速度/能量和状态图标可接入</x:v>
      </x:c>
      <x:c r="L60" s="8" t="str">
        <x:v>待确认</x:v>
      </x:c>
      <x:c r="M60" s="8"/>
      <x:c r="N60" s="9" t="str">
        <x:f>IF('概览设置'!$B$4="","",'概览设置'!$B$4+G60-1)</x:f>
      </x:c>
      <x:c r="O60" s="6" t="str">
        <x:f>IF(OR(L60="已完成",L60="已取消"),"已关闭",IF(L60="待批准","未纳入",IF(G60&lt;'概览设置'!$B$5,"已逾期",IF(G60='概览设置'!$B$5,"今日到期","未到期"))))</x:f>
        <x:v>未到期</x:v>
      </x:c>
      <x:c r="P60" s="8" t="str"/>
      <x:c r="Q60" s="8" t="str"/>
    </x:row>
    <x:row r="61" ht="64" customHeight="1">
      <x:c r="A61" s="3" t="str">
        <x:v>A07</x:v>
      </x:c>
      <x:c r="B61" s="3" t="str">
        <x:v>美工</x:v>
      </x:c>
      <x:c r="C61" s="3" t="str">
        <x:v>豆橛子</x:v>
      </x:c>
      <x:c r="D61" s="3" t="str">
        <x:v>标题、结果、教程资源</x:v>
      </x:c>
      <x:c r="E61" s="3" t="str">
        <x:v>P0</x:v>
      </x:c>
      <x:c r="F61" s="3" t="n">
        <x:v>8</x:v>
      </x:c>
      <x:c r="G61" s="3" t="n">
        <x:v>12</x:v>
      </x:c>
      <x:c r="H61" s="3" t="n">
        <x:v>6</x:v>
      </x:c>
      <x:c r="I61" s="3" t="str">
        <x:v>A05,C12</x:v>
      </x:c>
      <x:c r="J61" s="3" t="str">
        <x:v>林晓风</x:v>
      </x:c>
      <x:c r="K61" s="3" t="str">
        <x:v>完整流程所需界面资源齐全</x:v>
      </x:c>
      <x:c r="L61" s="8" t="str">
        <x:v>待确认</x:v>
      </x:c>
      <x:c r="M61" s="8"/>
      <x:c r="N61" s="9" t="str">
        <x:f>IF('概览设置'!$B$4="","",'概览设置'!$B$4+G61-1)</x:f>
      </x:c>
      <x:c r="O61" s="6" t="str">
        <x:f>IF(OR(L61="已完成",L61="已取消"),"已关闭",IF(L61="待批准","未纳入",IF(G61&lt;'概览设置'!$B$5,"已逾期",IF(G61='概览设置'!$B$5,"今日到期","未到期"))))</x:f>
        <x:v>未到期</x:v>
      </x:c>
      <x:c r="P61" s="8" t="str"/>
      <x:c r="Q61" s="8" t="str"/>
    </x:row>
    <x:row r="62" ht="64" customHeight="1">
      <x:c r="A62" s="3" t="str">
        <x:v>A08</x:v>
      </x:c>
      <x:c r="B62" s="3" t="str">
        <x:v>美工</x:v>
      </x:c>
      <x:c r="C62" s="3" t="str">
        <x:v>豆橛子</x:v>
      </x:c>
      <x:c r="D62" s="3" t="str">
        <x:v>切图修订、资源冻结与封面导出</x:v>
      </x:c>
      <x:c r="E62" s="3" t="str">
        <x:v>P0</x:v>
      </x:c>
      <x:c r="F62" s="3" t="n">
        <x:v>12</x:v>
      </x:c>
      <x:c r="G62" s="3" t="n">
        <x:v>14</x:v>
      </x:c>
      <x:c r="H62" s="3" t="n">
        <x:v>4</x:v>
      </x:c>
      <x:c r="I62" s="3" t="str">
        <x:v>A06,A07</x:v>
      </x:c>
      <x:c r="J62" s="3" t="str">
        <x:v>1382263</x:v>
      </x:c>
      <x:c r="K62" s="3" t="str">
        <x:v>尺寸/透明通道正确，现有资源可用作展示封面</x:v>
      </x:c>
      <x:c r="L62" s="8" t="str">
        <x:v>待确认</x:v>
      </x:c>
      <x:c r="M62" s="8"/>
      <x:c r="N62" s="9" t="str">
        <x:f>IF('概览设置'!$B$4="","",'概览设置'!$B$4+G62-1)</x:f>
      </x:c>
      <x:c r="O62" s="6" t="str">
        <x:f>IF(OR(L62="已完成",L62="已取消"),"已关闭",IF(L62="待批准","未纳入",IF(G62&lt;'概览设置'!$B$5,"已逾期",IF(G62='概览设置'!$B$5,"今日到期","未到期"))))</x:f>
        <x:v>未到期</x:v>
      </x:c>
      <x:c r="P62" s="8" t="str"/>
      <x:c r="Q62" s="8" t="str"/>
    </x:row>
    <x:row r="63" ht="64" customHeight="1">
      <x:c r="A63" s="3" t="str">
        <x:v>O01</x:v>
      </x:c>
      <x:c r="B63" s="3" t="str">
        <x:v>程序</x:v>
      </x:c>
      <x:c r="C63" s="3" t="str">
        <x:v>炸虾</x:v>
      </x:c>
      <x:c r="D63" s="3" t="str">
        <x:v>可选：远程机器人变体</x:v>
      </x:c>
      <x:c r="E63" s="3" t="str">
        <x:v>P1</x:v>
      </x:c>
      <x:c r="F63" s="3" t="n">
        <x:v>8</x:v>
      </x:c>
      <x:c r="G63" s="3" t="n">
        <x:v>10</x:v>
      </x:c>
      <x:c r="H63" s="3" t="n">
        <x:v>5</x:v>
      </x:c>
      <x:c r="I63" s="3" t="str">
        <x:v>P11</x:v>
      </x:c>
      <x:c r="J63" s="3" t="str">
        <x:v>君</x:v>
      </x:c>
      <x:c r="K63" s="3" t="str">
        <x:v>发射预算≤3、瞄准发射时位置、高低差与parry验证</x:v>
      </x:c>
      <x:c r="L63" s="8" t="str">
        <x:v>待批准</x:v>
      </x:c>
      <x:c r="M63" s="8"/>
      <x:c r="N63" s="9" t="str">
        <x:f>IF('概览设置'!$B$4="","",'概览设置'!$B$4+G63-1)</x:f>
      </x:c>
      <x:c r="O63" s="6" t="str">
        <x:f>IF(OR(L63="已完成",L63="已取消"),"已关闭",IF(L63="待批准","未纳入",IF(G63&lt;'概览设置'!$B$5,"已逾期",IF(G63='概览设置'!$B$5,"今日到期","未到期"))))</x:f>
        <x:v>未纳入</x:v>
      </x:c>
      <x:c r="P63" s="8" t="str"/>
      <x:c r="Q63" s="8" t="str">
        <x:v>D10准入；不挤占P0预算</x:v>
      </x:c>
    </x:row>
  </x:sheetData>
  <x:mergeCells>
    <x:mergeCell ref="A1:Q1"/>
    <x:mergeCell ref="A2:Q2"/>
  </x:mergeCells>
  <x:conditionalFormatting sqref="A5:Q63">
    <x:cfRule type="expression" dxfId="0" priority="1">
      <x:formula>$L5="已完成"</x:formula>
    </x:cfRule>
  </x:conditionalFormatting>
  <x:conditionalFormatting sqref="O5:O63">
    <x:cfRule type="containsText" dxfId="1" priority="2" operator="containsText" text="已逾期"/>
  </x:conditionalFormatting>
  <x:dataValidations count="1">
    <x:dataValidation type="list" sqref="L5:L63">
      <x:formula1>"待确认,未开始,进行中,待验收,已完成,受阻,待批准,已取消"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a8c6a23f6a4470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53" hidden="0" customWidth="1"/>
  </x:cols>
  <x:sheetData>
    <x:row r="1" ht="44" customHeight="1">
      <x:c r="A1" s="5" t="str">
        <x:v>人员负荷 | 主责不重复计时</x:v>
      </x:c>
      <x:c r="B1" s="5"/>
      <x:c r="C1" s="5"/>
      <x:c r="D1" s="5"/>
      <x:c r="E1" s="5"/>
      <x:c r="F1" s="5"/>
      <x:c r="G1" s="5"/>
      <x:c r="H1" s="5"/>
    </x:row>
    <x:row r="2" ht="38" customHeight="1">
      <x:c r="A2" s="6" t="str">
        <x:v>上限=每周保守投入×2；为建议预算，非成员承诺。验收/协作时间计入本人原有任务，不另加一份产能。</x:v>
      </x:c>
      <x:c r="B2" s="6"/>
      <x:c r="C2" s="6"/>
      <x:c r="D2" s="6"/>
      <x:c r="E2" s="6"/>
      <x:c r="F2" s="6"/>
      <x:c r="G2" s="6"/>
      <x:c r="H2" s="6"/>
    </x:row>
    <x:row r="3" ht="42" customHeight="1">
      <x:c r="A3" s="3"/>
      <x:c r="B3" s="3"/>
      <x:c r="C3" s="3"/>
      <x:c r="D3" s="3"/>
      <x:c r="E3" s="3"/>
      <x:c r="F3" s="3"/>
      <x:c r="G3" s="3"/>
      <x:c r="H3" s="3"/>
    </x:row>
    <x:row r="4" ht="30" customHeight="1">
      <x:c r="A4" s="11" t="str">
        <x:v>成员</x:v>
      </x:c>
      <x:c r="B4" s="11" t="str">
        <x:v>主岗</x:v>
      </x:c>
      <x:c r="C4" s="11" t="str">
        <x:v>预算上限h</x:v>
      </x:c>
      <x:c r="D4" s="11" t="str">
        <x:v>P0计划h</x:v>
      </x:c>
      <x:c r="E4" s="11" t="str">
        <x:v>P1备选h</x:v>
      </x:c>
      <x:c r="F4" s="11" t="str">
        <x:v>保底余量h</x:v>
      </x:c>
      <x:c r="G4" s="11" t="str">
        <x:v>含备选余量h</x:v>
      </x:c>
      <x:c r="H4" s="11" t="str">
        <x:v>情况与备注</x:v>
      </x:c>
    </x:row>
    <x:row r="5" ht="42" customHeight="1">
      <x:c r="A5" s="3" t="str">
        <x:v>绯云</x:v>
      </x:c>
      <x:c r="B5" s="3" t="str">
        <x:v>程序</x:v>
      </x:c>
      <x:c r="C5" s="8" t="n">
        <x:v>36</x:v>
      </x:c>
      <x:c r="D5" s="6" t="n">
        <x:f>SUMIFS('任务看板'!$H$5:$H$63,'任务看板'!$C$5:$C$63,A5,'任务看板'!$E$5:$E$63,"P0",'任务看板'!$L$5:$L$63,"&lt;&gt;已取消")</x:f>
        <x:v>36</x:v>
      </x:c>
      <x:c r="E5" s="6" t="n">
        <x:f>SUMIFS('任务看板'!$H$5:$H$63,'任务看板'!$C$5:$C$63,A5,'任务看板'!$E$5:$E$63,"P1",'任务看板'!$L$5:$L$63,"&lt;&gt;已取消")</x:f>
        <x:v>0</x:v>
      </x:c>
      <x:c r="F5" s="6" t="n">
        <x:f>C5-D5</x:f>
        <x:v>0</x:v>
      </x:c>
      <x:c r="G5" s="6" t="n">
        <x:f>C5-D5-E5</x:f>
        <x:v>0</x:v>
      </x:c>
      <x:c r="H5" s="3" t="str">
        <x:v>在校；约18h/周</x:v>
      </x:c>
    </x:row>
    <x:row r="6" ht="42" customHeight="1">
      <x:c r="A6" s="3" t="str">
        <x:v>Y.sir</x:v>
      </x:c>
      <x:c r="B6" s="3" t="str">
        <x:v>程序</x:v>
      </x:c>
      <x:c r="C6" s="8" t="n">
        <x:v>40</x:v>
      </x:c>
      <x:c r="D6" s="6" t="n">
        <x:f>SUMIFS('任务看板'!$H$5:$H$63,'任务看板'!$C$5:$C$63,A6,'任务看板'!$E$5:$E$63,"P0",'任务看板'!$L$5:$L$63,"&lt;&gt;已取消")</x:f>
        <x:v>40</x:v>
      </x:c>
      <x:c r="E6" s="6" t="n">
        <x:f>SUMIFS('任务看板'!$H$5:$H$63,'任务看板'!$C$5:$C$63,A6,'任务看板'!$E$5:$E$63,"P1",'任务看板'!$L$5:$L$63,"&lt;&gt;已取消")</x:f>
        <x:v>0</x:v>
      </x:c>
      <x:c r="F6" s="6" t="n">
        <x:f>C6-D6</x:f>
        <x:v>0</x:v>
      </x:c>
      <x:c r="G6" s="6" t="n">
        <x:f>C6-D6-E6</x:f>
        <x:v>0</x:v>
      </x:c>
      <x:c r="H6" s="3" t="str">
        <x:v>在校；20h/周为假设，待确认</x:v>
      </x:c>
    </x:row>
    <x:row r="7" ht="42" customHeight="1">
      <x:c r="A7" s="3" t="str">
        <x:v>炸虾</x:v>
      </x:c>
      <x:c r="B7" s="3" t="str">
        <x:v>程序</x:v>
      </x:c>
      <x:c r="C7" s="8" t="n">
        <x:v>20</x:v>
      </x:c>
      <x:c r="D7" s="6" t="n">
        <x:f>SUMIFS('任务看板'!$H$5:$H$63,'任务看板'!$C$5:$C$63,A7,'任务看板'!$E$5:$E$63,"P0",'任务看板'!$L$5:$L$63,"&lt;&gt;已取消")</x:f>
        <x:v>15</x:v>
      </x:c>
      <x:c r="E7" s="6" t="n">
        <x:f>SUMIFS('任务看板'!$H$5:$H$63,'任务看板'!$C$5:$C$63,A7,'任务看板'!$E$5:$E$63,"P1",'任务看板'!$L$5:$L$63,"&lt;&gt;已取消")</x:f>
        <x:v>5</x:v>
      </x:c>
      <x:c r="F7" s="6" t="n">
        <x:f>C7-D7</x:f>
        <x:v>5</x:v>
      </x:c>
      <x:c r="G7" s="6" t="n">
        <x:f>C7-D7-E7</x:f>
        <x:v>0</x:v>
      </x:c>
      <x:c r="H7" s="3" t="str">
        <x:v>远程；10h/周</x:v>
      </x:c>
    </x:row>
    <x:row r="8" ht="42" customHeight="1">
      <x:c r="A8" s="3" t="str">
        <x:v>祁海超</x:v>
      </x:c>
      <x:c r="B8" s="3" t="str">
        <x:v>程序</x:v>
      </x:c>
      <x:c r="C8" s="8" t="n">
        <x:v>20</x:v>
      </x:c>
      <x:c r="D8" s="6" t="n">
        <x:f>SUMIFS('任务看板'!$H$5:$H$63,'任务看板'!$C$5:$C$63,A8,'任务看板'!$E$5:$E$63,"P0",'任务看板'!$L$5:$L$63,"&lt;&gt;已取消")</x:f>
        <x:v>20</x:v>
      </x:c>
      <x:c r="E8" s="6" t="n">
        <x:f>SUMIFS('任务看板'!$H$5:$H$63,'任务看板'!$C$5:$C$63,A8,'任务看板'!$E$5:$E$63,"P1",'任务看板'!$L$5:$L$63,"&lt;&gt;已取消")</x:f>
        <x:v>0</x:v>
      </x:c>
      <x:c r="F8" s="6" t="n">
        <x:f>C8-D8</x:f>
        <x:v>0</x:v>
      </x:c>
      <x:c r="G8" s="6" t="n">
        <x:f>C8-D8-E8</x:f>
        <x:v>0</x:v>
      </x:c>
      <x:c r="H8" s="3" t="str">
        <x:v>地点待确认；10h/周</x:v>
      </x:c>
    </x:row>
    <x:row r="9" ht="42" customHeight="1">
      <x:c r="A9" s="3" t="str">
        <x:v>leo</x:v>
      </x:c>
      <x:c r="B9" s="3" t="str">
        <x:v>程序</x:v>
      </x:c>
      <x:c r="C9" s="8" t="n">
        <x:v>36</x:v>
      </x:c>
      <x:c r="D9" s="6" t="n">
        <x:f>SUMIFS('任务看板'!$H$5:$H$63,'任务看板'!$C$5:$C$63,A9,'任务看板'!$E$5:$E$63,"P0",'任务看板'!$L$5:$L$63,"&lt;&gt;已取消")</x:f>
        <x:v>36</x:v>
      </x:c>
      <x:c r="E9" s="6" t="n">
        <x:f>SUMIFS('任务看板'!$H$5:$H$63,'任务看板'!$C$5:$C$63,A9,'任务看板'!$E$5:$E$63,"P1",'任务看板'!$L$5:$L$63,"&lt;&gt;已取消")</x:f>
        <x:v>0</x:v>
      </x:c>
      <x:c r="F9" s="6" t="n">
        <x:f>C9-D9</x:f>
        <x:v>0</x:v>
      </x:c>
      <x:c r="G9" s="6" t="n">
        <x:f>C9-D9-E9</x:f>
        <x:v>0</x:v>
      </x:c>
      <x:c r="H9" s="3" t="str">
        <x:v>地点待确认；约18h/周</x:v>
      </x:c>
    </x:row>
    <x:row r="10" ht="42" customHeight="1">
      <x:c r="A10" s="3" t="str">
        <x:v>1382263</x:v>
      </x:c>
      <x:c r="B10" s="3" t="str">
        <x:v>程序</x:v>
      </x:c>
      <x:c r="C10" s="8" t="n">
        <x:v>30</x:v>
      </x:c>
      <x:c r="D10" s="6" t="n">
        <x:f>SUMIFS('任务看板'!$H$5:$H$63,'任务看板'!$C$5:$C$63,A10,'任务看板'!$E$5:$E$63,"P0",'任务看板'!$L$5:$L$63,"&lt;&gt;已取消")</x:f>
        <x:v>30</x:v>
      </x:c>
      <x:c r="E10" s="6" t="n">
        <x:f>SUMIFS('任务看板'!$H$5:$H$63,'任务看板'!$C$5:$C$63,A10,'任务看板'!$E$5:$E$63,"P1",'任务看板'!$L$5:$L$63,"&lt;&gt;已取消")</x:f>
        <x:v>0</x:v>
      </x:c>
      <x:c r="F10" s="6" t="n">
        <x:f>C10-D10</x:f>
        <x:v>0</x:v>
      </x:c>
      <x:c r="G10" s="6" t="n">
        <x:f>C10-D10-E10</x:f>
        <x:v>0</x:v>
      </x:c>
      <x:c r="H10" s="3" t="str">
        <x:v>在校；15h/周</x:v>
      </x:c>
    </x:row>
    <x:row r="11" ht="42" customHeight="1">
      <x:c r="A11" s="3" t="str">
        <x:v>炡凧</x:v>
      </x:c>
      <x:c r="B11" s="3" t="str">
        <x:v>程序</x:v>
      </x:c>
      <x:c r="C11" s="8" t="n">
        <x:v>30</x:v>
      </x:c>
      <x:c r="D11" s="6" t="n">
        <x:f>SUMIFS('任务看板'!$H$5:$H$63,'任务看板'!$C$5:$C$63,A11,'任务看板'!$E$5:$E$63,"P0",'任务看板'!$L$5:$L$63,"&lt;&gt;已取消")</x:f>
        <x:v>30</x:v>
      </x:c>
      <x:c r="E11" s="6" t="n">
        <x:f>SUMIFS('任务看板'!$H$5:$H$63,'任务看板'!$C$5:$C$63,A11,'任务看板'!$E$5:$E$63,"P1",'任务看板'!$L$5:$L$63,"&lt;&gt;已取消")</x:f>
        <x:v>0</x:v>
      </x:c>
      <x:c r="F11" s="6" t="n">
        <x:f>C11-D11</x:f>
        <x:v>0</x:v>
      </x:c>
      <x:c r="G11" s="6" t="n">
        <x:f>C11-D11-E11</x:f>
        <x:v>0</x:v>
      </x:c>
      <x:c r="H11" s="3" t="str">
        <x:v>在校；音乐程序职责待确认</x:v>
      </x:c>
    </x:row>
    <x:row r="12" ht="42" customHeight="1">
      <x:c r="A12" s="3" t="str">
        <x:v>haski</x:v>
      </x:c>
      <x:c r="B12" s="3" t="str">
        <x:v>策划</x:v>
      </x:c>
      <x:c r="C12" s="8" t="n">
        <x:v>30</x:v>
      </x:c>
      <x:c r="D12" s="6" t="n">
        <x:f>SUMIFS('任务看板'!$H$5:$H$63,'任务看板'!$C$5:$C$63,A12,'任务看板'!$E$5:$E$63,"P0",'任务看板'!$L$5:$L$63,"&lt;&gt;已取消")</x:f>
        <x:v>27</x:v>
      </x:c>
      <x:c r="E12" s="6" t="n">
        <x:f>SUMIFS('任务看板'!$H$5:$H$63,'任务看板'!$C$5:$C$63,A12,'任务看板'!$E$5:$E$63,"P1",'任务看板'!$L$5:$L$63,"&lt;&gt;已取消")</x:f>
        <x:v>0</x:v>
      </x:c>
      <x:c r="F12" s="6" t="n">
        <x:f>C12-D12</x:f>
        <x:v>3</x:v>
      </x:c>
      <x:c r="G12" s="6" t="n">
        <x:f>C12-D12-E12</x:f>
        <x:v>3</x:v>
      </x:c>
      <x:c r="H12" s="3" t="str">
        <x:v>策划主岗；在校</x:v>
      </x:c>
    </x:row>
    <x:row r="13" ht="42" customHeight="1">
      <x:c r="A13" s="3" t="str">
        <x:v>KinoChain</x:v>
      </x:c>
      <x:c r="B13" s="3" t="str">
        <x:v>策划</x:v>
      </x:c>
      <x:c r="C13" s="8" t="n">
        <x:v>20</x:v>
      </x:c>
      <x:c r="D13" s="6" t="n">
        <x:f>SUMIFS('任务看板'!$H$5:$H$63,'任务看板'!$C$5:$C$63,A13,'任务看板'!$E$5:$E$63,"P0",'任务看板'!$L$5:$L$63,"&lt;&gt;已取消")</x:f>
        <x:v>20</x:v>
      </x:c>
      <x:c r="E13" s="6" t="n">
        <x:f>SUMIFS('任务看板'!$H$5:$H$63,'任务看板'!$C$5:$C$63,A13,'任务看板'!$E$5:$E$63,"P1",'任务看板'!$L$5:$L$63,"&lt;&gt;已取消")</x:f>
        <x:v>0</x:v>
      </x:c>
      <x:c r="F13" s="6" t="n">
        <x:f>C13-D13</x:f>
        <x:v>0</x:v>
      </x:c>
      <x:c r="G13" s="6" t="n">
        <x:f>C13-D13-E13</x:f>
        <x:v>0</x:v>
      </x:c>
      <x:c r="H13" s="3" t="str">
        <x:v>按10h/周下限；地点待确认</x:v>
      </x:c>
    </x:row>
    <x:row r="14" ht="42" customHeight="1">
      <x:c r="A14" s="3" t="str">
        <x:v>君</x:v>
      </x:c>
      <x:c r="B14" s="3" t="str">
        <x:v>策划</x:v>
      </x:c>
      <x:c r="C14" s="8" t="n">
        <x:v>30</x:v>
      </x:c>
      <x:c r="D14" s="6" t="n">
        <x:f>SUMIFS('任务看板'!$H$5:$H$63,'任务看板'!$C$5:$C$63,A14,'任务看板'!$E$5:$E$63,"P0",'任务看板'!$L$5:$L$63,"&lt;&gt;已取消")</x:f>
        <x:v>30</x:v>
      </x:c>
      <x:c r="E14" s="6" t="n">
        <x:f>SUMIFS('任务看板'!$H$5:$H$63,'任务看板'!$C$5:$C$63,A14,'任务看板'!$E$5:$E$63,"P1",'任务看板'!$L$5:$L$63,"&lt;&gt;已取消")</x:f>
        <x:v>0</x:v>
      </x:c>
      <x:c r="F14" s="6" t="n">
        <x:f>C14-D14</x:f>
        <x:v>0</x:v>
      </x:c>
      <x:c r="G14" s="6" t="n">
        <x:f>C14-D14-E14</x:f>
        <x:v>0</x:v>
      </x:c>
      <x:c r="H14" s="3" t="str">
        <x:v>在校；15h/周</x:v>
      </x:c>
    </x:row>
    <x:row r="15" ht="42" customHeight="1">
      <x:c r="A15" s="3" t="str">
        <x:v>林晓风</x:v>
      </x:c>
      <x:c r="B15" s="3" t="str">
        <x:v>策划</x:v>
      </x:c>
      <x:c r="C15" s="8" t="n">
        <x:v>20</x:v>
      </x:c>
      <x:c r="D15" s="6" t="n">
        <x:f>SUMIFS('任务看板'!$H$5:$H$63,'任务看板'!$C$5:$C$63,A15,'任务看板'!$E$5:$E$63,"P0",'任务看板'!$L$5:$L$63,"&lt;&gt;已取消")</x:f>
        <x:v>20</x:v>
      </x:c>
      <x:c r="E15" s="6" t="n">
        <x:f>SUMIFS('任务看板'!$H$5:$H$63,'任务看板'!$C$5:$C$63,A15,'任务看板'!$E$5:$E$63,"P1",'任务看板'!$L$5:$L$63,"&lt;&gt;已取消")</x:f>
        <x:v>0</x:v>
      </x:c>
      <x:c r="F15" s="6" t="n">
        <x:f>C15-D15</x:f>
        <x:v>0</x:v>
      </x:c>
      <x:c r="G15" s="6" t="n">
        <x:f>C15-D15-E15</x:f>
        <x:v>0</x:v>
      </x:c>
      <x:c r="H15" s="3" t="str">
        <x:v>三号回家，具体日期和后续时长待确认</x:v>
      </x:c>
    </x:row>
    <x:row r="16" ht="42" customHeight="1">
      <x:c r="A16" s="3" t="str">
        <x:v>此地无银</x:v>
      </x:c>
      <x:c r="B16" s="3" t="str">
        <x:v>策划</x:v>
      </x:c>
      <x:c r="C16" s="8" t="n">
        <x:v>40</x:v>
      </x:c>
      <x:c r="D16" s="6" t="n">
        <x:f>SUMIFS('任务看板'!$H$5:$H$63,'任务看板'!$C$5:$C$63,A16,'任务看板'!$E$5:$E$63,"P0",'任务看板'!$L$5:$L$63,"&lt;&gt;已取消")</x:f>
        <x:v>40</x:v>
      </x:c>
      <x:c r="E16" s="6" t="n">
        <x:f>SUMIFS('任务看板'!$H$5:$H$63,'任务看板'!$C$5:$C$63,A16,'任务看板'!$E$5:$E$63,"P1",'任务看板'!$L$5:$L$63,"&lt;&gt;已取消")</x:f>
        <x:v>0</x:v>
      </x:c>
      <x:c r="F16" s="6" t="n">
        <x:f>C16-D16</x:f>
        <x:v>0</x:v>
      </x:c>
      <x:c r="G16" s="6" t="n">
        <x:f>C16-D16-E16</x:f>
        <x:v>0</x:v>
      </x:c>
      <x:c r="H16" s="3" t="str">
        <x:v>策划主岗；在校；程序/2D仅辅助</x:v>
      </x:c>
    </x:row>
    <x:row r="17" ht="42" customHeight="1">
      <x:c r="A17" s="3" t="str">
        <x:v>qwq</x:v>
      </x:c>
      <x:c r="B17" s="3" t="str">
        <x:v>策划</x:v>
      </x:c>
      <x:c r="C17" s="8" t="n">
        <x:v>20</x:v>
      </x:c>
      <x:c r="D17" s="6" t="n">
        <x:f>SUMIFS('任务看板'!$H$5:$H$63,'任务看板'!$C$5:$C$63,A17,'任务看板'!$E$5:$E$63,"P0",'任务看板'!$L$5:$L$63,"&lt;&gt;已取消")</x:f>
        <x:v>20</x:v>
      </x:c>
      <x:c r="E17" s="6" t="n">
        <x:f>SUMIFS('任务看板'!$H$5:$H$63,'任务看板'!$C$5:$C$63,A17,'任务看板'!$E$5:$E$63,"P1",'任务看板'!$L$5:$L$63,"&lt;&gt;已取消")</x:f>
        <x:v>0</x:v>
      </x:c>
      <x:c r="F17" s="6" t="n">
        <x:f>C17-D17</x:f>
        <x:v>0</x:v>
      </x:c>
      <x:c r="G17" s="6" t="n">
        <x:f>C17-D17-E17</x:f>
        <x:v>0</x:v>
      </x:c>
      <x:c r="H17" s="3" t="str">
        <x:v>9/25—10/7远程；按10h/周下限</x:v>
      </x:c>
    </x:row>
    <x:row r="18" ht="42" customHeight="1">
      <x:c r="A18" s="3" t="str">
        <x:v>S.Y.A</x:v>
      </x:c>
      <x:c r="B18" s="3" t="str">
        <x:v>策划</x:v>
      </x:c>
      <x:c r="C18" s="8" t="n">
        <x:v>20</x:v>
      </x:c>
      <x:c r="D18" s="6" t="n">
        <x:f>SUMIFS('任务看板'!$H$5:$H$63,'任务看板'!$C$5:$C$63,A18,'任务看板'!$E$5:$E$63,"P0",'任务看板'!$L$5:$L$63,"&lt;&gt;已取消")</x:f>
        <x:v>20</x:v>
      </x:c>
      <x:c r="E18" s="6" t="n">
        <x:f>SUMIFS('任务看板'!$H$5:$H$63,'任务看板'!$C$5:$C$63,A18,'任务看板'!$E$5:$E$63,"P1",'任务看板'!$L$5:$L$63,"&lt;&gt;已取消")</x:f>
        <x:v>0</x:v>
      </x:c>
      <x:c r="F18" s="6" t="n">
        <x:f>C18-D18</x:f>
        <x:v>0</x:v>
      </x:c>
      <x:c r="G18" s="6" t="n">
        <x:f>C18-D18-E18</x:f>
        <x:v>0</x:v>
      </x:c>
      <x:c r="H18" s="3" t="str">
        <x:v>策划主岗；在校</x:v>
      </x:c>
    </x:row>
    <x:row r="19" ht="42" customHeight="1">
      <x:c r="A19" s="3" t="str">
        <x:v>Dr.鸣</x:v>
      </x:c>
      <x:c r="B19" s="3" t="str">
        <x:v>策划</x:v>
      </x:c>
      <x:c r="C19" s="8" t="n">
        <x:v>14</x:v>
      </x:c>
      <x:c r="D19" s="6" t="n">
        <x:f>SUMIFS('任务看板'!$H$5:$H$63,'任务看板'!$C$5:$C$63,A19,'任务看板'!$E$5:$E$63,"P0",'任务看板'!$L$5:$L$63,"&lt;&gt;已取消")</x:f>
        <x:v>14</x:v>
      </x:c>
      <x:c r="E19" s="6" t="n">
        <x:f>SUMIFS('任务看板'!$H$5:$H$63,'任务看板'!$C$5:$C$63,A19,'任务看板'!$E$5:$E$63,"P1",'任务看板'!$L$5:$L$63,"&lt;&gt;已取消")</x:f>
        <x:v>0</x:v>
      </x:c>
      <x:c r="F19" s="6" t="n">
        <x:f>C19-D19</x:f>
        <x:v>0</x:v>
      </x:c>
      <x:c r="G19" s="6" t="n">
        <x:f>C19-D19-E19</x:f>
        <x:v>0</x:v>
      </x:c>
      <x:c r="H19" s="3" t="str">
        <x:v>策划主岗；1h/天；地点待确认</x:v>
      </x:c>
    </x:row>
    <x:row r="20" ht="42" customHeight="1">
      <x:c r="A20" s="3" t="str">
        <x:v>派</x:v>
      </x:c>
      <x:c r="B20" s="3" t="str">
        <x:v>美工</x:v>
      </x:c>
      <x:c r="C20" s="8" t="n">
        <x:v>20</x:v>
      </x:c>
      <x:c r="D20" s="6" t="n">
        <x:f>SUMIFS('任务看板'!$H$5:$H$63,'任务看板'!$C$5:$C$63,A20,'任务看板'!$E$5:$E$63,"P0",'任务看板'!$L$5:$L$63,"&lt;&gt;已取消")</x:f>
        <x:v>20</x:v>
      </x:c>
      <x:c r="E20" s="6" t="n">
        <x:f>SUMIFS('任务看板'!$H$5:$H$63,'任务看板'!$C$5:$C$63,A20,'任务看板'!$E$5:$E$63,"P1",'任务看板'!$L$5:$L$63,"&lt;&gt;已取消")</x:f>
        <x:v>0</x:v>
      </x:c>
      <x:c r="F20" s="6" t="n">
        <x:f>C20-D20</x:f>
        <x:v>0</x:v>
      </x:c>
      <x:c r="G20" s="6" t="n">
        <x:f>C20-D20-E20</x:f>
        <x:v>0</x:v>
      </x:c>
      <x:c r="H20" s="3" t="str">
        <x:v>远程至10/7返校；按10h/周下限</x:v>
      </x:c>
    </x:row>
    <x:row r="21" ht="42" customHeight="1">
      <x:c r="A21" s="3" t="str">
        <x:v>豆橛子</x:v>
      </x:c>
      <x:c r="B21" s="3" t="str">
        <x:v>美工</x:v>
      </x:c>
      <x:c r="C21" s="8" t="n">
        <x:v>20</x:v>
      </x:c>
      <x:c r="D21" s="6" t="n">
        <x:f>SUMIFS('任务看板'!$H$5:$H$63,'任务看板'!$C$5:$C$63,A21,'任务看板'!$E$5:$E$63,"P0",'任务看板'!$L$5:$L$63,"&lt;&gt;已取消")</x:f>
        <x:v>20</x:v>
      </x:c>
      <x:c r="E21" s="6" t="n">
        <x:f>SUMIFS('任务看板'!$H$5:$H$63,'任务看板'!$C$5:$C$63,A21,'任务看板'!$E$5:$E$63,"P1",'任务看板'!$L$5:$L$63,"&lt;&gt;已取消")</x:f>
        <x:v>0</x:v>
      </x:c>
      <x:c r="F21" s="6" t="n">
        <x:f>C21-D21</x:f>
        <x:v>0</x:v>
      </x:c>
      <x:c r="G21" s="6" t="n">
        <x:f>C21-D21-E21</x:f>
        <x:v>0</x:v>
      </x:c>
      <x:c r="H21" s="3" t="str">
        <x:v>远程；10h/周为待确认假设</x:v>
      </x:c>
    </x:row>
    <x:row r="22" ht="42" customHeight="1">
      <x:c r="A22" s="3"/>
      <x:c r="B22" s="3"/>
      <x:c r="C22" s="3"/>
      <x:c r="D22" s="6"/>
      <x:c r="E22" s="6"/>
      <x:c r="F22" s="6"/>
      <x:c r="G22" s="6"/>
      <x:c r="H22" s="3"/>
    </x:row>
    <x:row r="23" ht="42" customHeight="1">
      <x:c r="A23" s="3" t="str">
        <x:v>合计</x:v>
      </x:c>
      <x:c r="B23" s="3"/>
      <x:c r="C23" s="3" t="n">
        <x:f>SUM(C5:C21)</x:f>
        <x:v>446</x:v>
      </x:c>
      <x:c r="D23" s="6" t="n">
        <x:f>SUM(D5:D21)</x:f>
        <x:v>438</x:v>
      </x:c>
      <x:c r="E23" s="6" t="n">
        <x:f>SUM(E5:E21)</x:f>
        <x:v>5</x:v>
      </x:c>
      <x:c r="F23" s="6" t="n">
        <x:f>SUM(F5:F21)</x:f>
        <x:v>8</x:v>
      </x:c>
      <x:c r="G23" s="6" t="n">
        <x:f>SUM(G5:G21)</x:f>
        <x:v>3</x:v>
      </x:c>
      <x:c r="H23" s="3" t="str">
        <x:v>ta-kiiye中台不计；FKR梧桐待到岗，不计入基线。</x:v>
      </x:c>
    </x:row>
    <x:row r="24" ht="42" customHeight="1">
      <x:c r="A24" s="3" t="str">
        <x:v>来源：成员信息表.xlsx（工作表2 A2:F20）、队长修正及《三组分工与21天排期》。P1预算已预留但不代表批准；不计未定范围的扩展技能。</x:v>
      </x:c>
      <x:c r="B24" s="3"/>
      <x:c r="C24" s="3"/>
      <x:c r="D24" s="3"/>
      <x:c r="E24" s="3"/>
      <x:c r="F24" s="3"/>
      <x:c r="G24" s="3"/>
      <x:c r="H24" s="3"/>
    </x:row>
    <x:row r="25" ht="42" customHeight="1">
      <x:c r="A25" s="3"/>
      <x:c r="B25" s="3"/>
      <x:c r="C25" s="3"/>
      <x:c r="D25" s="3"/>
      <x:c r="E25" s="3"/>
      <x:c r="F25" s="3"/>
      <x:c r="G25" s="3"/>
      <x:c r="H25" s="3"/>
    </x:row>
  </x:sheetData>
  <x:mergeCells>
    <x:mergeCell ref="A1:H1"/>
    <x:mergeCell ref="A2:H2"/>
    <x:mergeCell ref="A24:H25"/>
  </x:mergeCells>
  <x:conditionalFormatting sqref="F5:G21">
    <x:cfRule type="cellIs" dxfId="2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aca3c465e6340b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0" hidden="0" customWidth="1"/>
    <x:col min="2" max="2" width="27" hidden="0" customWidth="1"/>
    <x:col min="3" max="3" width="23" hidden="0" customWidth="1"/>
    <x:col min="4" max="4" width="70" hidden="0" customWidth="1"/>
    <x:col min="5" max="5" width="14" hidden="0" customWidth="1"/>
    <x:col min="6" max="6" width="16" hidden="0" customWidth="1"/>
  </x:cols>
  <x:sheetData>
    <x:row r="1" ht="44" customHeight="1">
      <x:c r="A1" s="5" t="str">
        <x:v>交付里程碑 | D20实际提交</x:v>
      </x:c>
      <x:c r="B1" s="5"/>
      <x:c r="C1" s="5"/>
      <x:c r="D1" s="5"/>
      <x:c r="E1" s="5"/>
      <x:c r="F1" s="5"/>
    </x:row>
    <x:row r="2" ht="38" customHeight="1">
      <x:c r="A2" s="6" t="str">
        <x:v>当前为计划节点，不代表已完成。D21只作应急缓冲；实际开工日未确认，日期自动保持空白。</x:v>
      </x:c>
      <x:c r="B2" s="6"/>
      <x:c r="C2" s="6"/>
      <x:c r="D2" s="6"/>
      <x:c r="E2" s="6"/>
      <x:c r="F2" s="6"/>
    </x:row>
    <x:row r="3" ht="42" customHeight="1">
      <x:c r="A3" s="3"/>
      <x:c r="B3" s="3"/>
      <x:c r="C3" s="3"/>
      <x:c r="D3" s="3"/>
      <x:c r="E3" s="3"/>
      <x:c r="F3" s="3"/>
    </x:row>
    <x:row r="4" ht="30" customHeight="1">
      <x:c r="A4" s="11" t="str">
        <x:v>截止D</x:v>
      </x:c>
      <x:c r="B4" s="11" t="str">
        <x:v>里程碑</x:v>
      </x:c>
      <x:c r="C4" s="11" t="str">
        <x:v>负责人</x:v>
      </x:c>
      <x:c r="D4" s="11" t="str">
        <x:v>放行标准</x:v>
      </x:c>
      <x:c r="E4" s="11" t="str">
        <x:v>状态</x:v>
      </x:c>
      <x:c r="F4" s="11" t="str">
        <x:v>日期</x:v>
      </x:c>
    </x:row>
    <x:row r="5" ht="42" customHeight="1">
      <x:c r="A5" s="3" t="n">
        <x:v>2</x:v>
      </x:c>
      <x:c r="B5" s="3" t="str">
        <x:v>规则与范围定稿</x:v>
      </x:c>
      <x:c r="C5" s="3" t="str">
        <x:v>队长</x:v>
      </x:c>
      <x:c r="D5" s="3" t="str">
        <x:v>P0批准，人员工时/输入/资产路线确认</x:v>
      </x:c>
      <x:c r="E5" s="8" t="str">
        <x:v>待确认</x:v>
      </x:c>
      <x:c r="F5" s="7" t="str">
        <x:f>IF('概览设置'!$B$4="","",'概览设置'!$B$4+A5-1)</x:f>
      </x:c>
    </x:row>
    <x:row r="6" ht="42" customHeight="1">
      <x:c r="A6" s="3" t="n">
        <x:v>5</x:v>
      </x:c>
      <x:c r="B6" s="3" t="str">
        <x:v>最小可玩循环</x:v>
      </x:c>
      <x:c r="C6" s="3" t="str">
        <x:v>绯云</x:v>
      </x:c>
      <x:c r="D6" s="3" t="str">
        <x:v>跑跳→攻击→受伤/击杀可运行</x:v>
      </x:c>
      <x:c r="E6" s="8" t="str">
        <x:v>待确认</x:v>
      </x:c>
      <x:c r="F6" s="7" t="str">
        <x:f>IF('概览设置'!$B$4="","",'概览设置'!$B$4+A6-1)</x:f>
      </x:c>
    </x:row>
    <x:row r="7" ht="42" customHeight="1">
      <x:c r="A7" s="3" t="n">
        <x:v>8</x:v>
      </x:c>
      <x:c r="B7" s="3" t="str">
        <x:v>完整灰盒流程</x:v>
      </x:c>
      <x:c r="C7" s="3" t="str">
        <x:v>leo</x:v>
      </x:c>
      <x:c r="D7" s="3" t="str">
        <x:v>可从教学玩到终点；不达标停止P1</x:v>
      </x:c>
      <x:c r="E7" s="8" t="str">
        <x:v>待确认</x:v>
      </x:c>
      <x:c r="F7" s="7" t="str">
        <x:f>IF('概览设置'!$B$4="","",'概览设置'!$B$4+A7-1)</x:f>
      </x:c>
    </x:row>
    <x:row r="8" ht="42" customHeight="1">
      <x:c r="A8" s="3" t="n">
        <x:v>10</x:v>
      </x:c>
      <x:c r="B8" s="3" t="str">
        <x:v>可选项准入</x:v>
      </x:c>
      <x:c r="C8" s="3" t="str">
        <x:v>KinoChain</x:v>
      </x:c>
      <x:c r="D8" s="3" t="str">
        <x:v>P0无阻断且有剩余预算才启动O01</x:v>
      </x:c>
      <x:c r="E8" s="8" t="str">
        <x:v>待确认</x:v>
      </x:c>
      <x:c r="F8" s="7" t="str">
        <x:f>IF('概览设置'!$B$4="","",'概览设置'!$B$4+A8-1)</x:f>
      </x:c>
    </x:row>
    <x:row r="9" ht="42" customHeight="1">
      <x:c r="A9" s="3" t="n">
        <x:v>12</x:v>
      </x:c>
      <x:c r="B9" s="3" t="str">
        <x:v>功能冻结</x:v>
      </x:c>
      <x:c r="C9" s="3" t="str">
        <x:v>绯云</x:v>
      </x:c>
      <x:c r="D9" s="3" t="str">
        <x:v>P0有验收，停止新系统</x:v>
      </x:c>
      <x:c r="E9" s="8" t="str">
        <x:v>待确认</x:v>
      </x:c>
      <x:c r="F9" s="7" t="str">
        <x:f>IF('概览设置'!$B$4="","",'概览设置'!$B$4+A9-1)</x:f>
      </x:c>
    </x:row>
    <x:row r="10" ht="42" customHeight="1">
      <x:c r="A10" s="3" t="n">
        <x:v>14</x:v>
      </x:c>
      <x:c r="B10" s="3" t="str">
        <x:v>资源冻结</x:v>
      </x:c>
      <x:c r="C10" s="3" t="str">
        <x:v>派 / 豆橛子</x:v>
      </x:c>
      <x:c r="D10" s="3" t="str">
        <x:v>必要资产导入完成，只允许修复</x:v>
      </x:c>
      <x:c r="E10" s="8" t="str">
        <x:v>待确认</x:v>
      </x:c>
      <x:c r="F10" s="7" t="str">
        <x:f>IF('概览设置'!$B$4="","",'概览设置'!$B$4+A10-1)</x:f>
      </x:c>
    </x:row>
    <x:row r="11" ht="42" customHeight="1">
      <x:c r="A11" s="3" t="n">
        <x:v>16</x:v>
      </x:c>
      <x:c r="B11" s="3" t="str">
        <x:v>RC1候选包</x:v>
      </x:c>
      <x:c r="C11" s="3" t="str">
        <x:v>绯云</x:v>
      </x:c>
      <x:c r="D11" s="3" t="str">
        <x:v>启动、通关、重开无阻断</x:v>
      </x:c>
      <x:c r="E11" s="8" t="str">
        <x:v>待确认</x:v>
      </x:c>
      <x:c r="F11" s="7" t="str">
        <x:f>IF('概览设置'!$B$4="","",'概览设置'!$B$4+A11-1)</x:f>
      </x:c>
    </x:row>
    <x:row r="12" ht="42" customHeight="1">
      <x:c r="A12" s="3" t="n">
        <x:v>18</x:v>
      </x:c>
      <x:c r="B12" s="3" t="str">
        <x:v>RC2回归</x:v>
      </x:c>
      <x:c r="C12" s="3" t="str">
        <x:v>绯云</x:v>
      </x:c>
      <x:c r="D12" s="3" t="str">
        <x:v>主要缺陷关闭，非开发机器验证</x:v>
      </x:c>
      <x:c r="E12" s="8" t="str">
        <x:v>待确认</x:v>
      </x:c>
      <x:c r="F12" s="7" t="str">
        <x:f>IF('概览设置'!$B$4="","",'概览设置'!$B$4+A12-1)</x:f>
      </x:c>
    </x:row>
    <x:row r="13" ht="42" customHeight="1">
      <x:c r="A13" s="3" t="n">
        <x:v>19</x:v>
      </x:c>
      <x:c r="B13" s="3" t="str">
        <x:v>最终包与提交预演</x:v>
      </x:c>
      <x:c r="C13" s="3" t="str">
        <x:v>队长</x:v>
      </x:c>
      <x:c r="D13" s="3" t="str">
        <x:v>最终包/说明/授权/提交账号确认</x:v>
      </x:c>
      <x:c r="E13" s="8" t="str">
        <x:v>待确认</x:v>
      </x:c>
      <x:c r="F13" s="7" t="str">
        <x:f>IF('概览设置'!$B$4="","",'概览设置'!$B$4+A13-1)</x:f>
      </x:c>
    </x:row>
    <x:row r="14" ht="42" customHeight="1">
      <x:c r="A14" s="3" t="n">
        <x:v>20</x:v>
      </x:c>
      <x:c r="B14" s="3" t="str">
        <x:v>正式交付与下载回验</x:v>
      </x:c>
      <x:c r="C14" s="3" t="str">
        <x:v>提交人待指定</x:v>
      </x:c>
      <x:c r="D14" s="3" t="str">
        <x:v>实际提交成功并保存回执；D1必须指定提交人</x:v>
      </x:c>
      <x:c r="E14" s="8" t="str">
        <x:v>待确认</x:v>
      </x:c>
      <x:c r="F14" s="7" t="str">
        <x:f>IF('概览设置'!$B$4="","",'概览设置'!$B$4+A14-1)</x:f>
      </x:c>
    </x:row>
    <x:row r="15" ht="42" customHeight="1">
      <x:c r="A15" s="3" t="n">
        <x:v>21</x:v>
      </x:c>
      <x:c r="B15" s="3" t="str">
        <x:v>应急缓冲</x:v>
      </x:c>
      <x:c r="C15" s="3" t="str">
        <x:v>队长</x:v>
      </x:c>
      <x:c r="D15" s="3" t="str">
        <x:v>只处理严重故障，不安排新功能</x:v>
      </x:c>
      <x:c r="E15" s="8" t="str">
        <x:v>待确认</x:v>
      </x:c>
      <x:c r="F15" s="7" t="str">
        <x:f>IF('概览设置'!$B$4="","",'概览设置'!$B$4+A15-1)</x:f>
      </x:c>
    </x:row>
    <x:row r="16" ht="42" customHeight="1">
      <x:c r="A16" s="3"/>
      <x:c r="B16" s="3"/>
      <x:c r="C16" s="3"/>
      <x:c r="D16" s="3"/>
      <x:c r="E16" s="3"/>
      <x:c r="F16" s="3"/>
    </x:row>
    <x:row r="17" ht="42" customHeight="1">
      <x:c r="A17" s="3"/>
      <x:c r="B17" s="3"/>
      <x:c r="C17" s="3"/>
      <x:c r="D17" s="3"/>
      <x:c r="E17" s="3"/>
      <x:c r="F17" s="3"/>
    </x:row>
  </x:sheetData>
  <x:mergeCells>
    <x:mergeCell ref="A1:F1"/>
    <x:mergeCell ref="A2:F2"/>
  </x:mergeCells>
  <x:dataValidations count="1">
    <x:dataValidation type="list" sqref="E5:E15">
      <x:formula1>"待确认,未开始,进行中,已完成,受阻"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89574054d24bab"/>
  </x:tableParts>
</x:worksheet>
</file>